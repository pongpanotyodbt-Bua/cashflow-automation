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6D3C075D-E3FA-482C-B1DC-8DD33A4243B4}" xr6:coauthVersionLast="47" xr6:coauthVersionMax="47" xr10:uidLastSave="{00000000-0000-0000-0000-000000000000}"/>
  <bookViews>
    <workbookView xWindow="2730" yWindow="2730" windowWidth="21600" windowHeight="11505" xr2:uid="{70C8BEDB-B799-4E02-A18C-E459E2FBB270}"/>
  </bookViews>
  <sheets>
    <sheet name="B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</calcChain>
</file>

<file path=xl/sharedStrings.xml><?xml version="1.0" encoding="utf-8"?>
<sst xmlns="http://schemas.openxmlformats.org/spreadsheetml/2006/main" count="52" uniqueCount="46">
  <si>
    <t>AP / Bills</t>
  </si>
  <si>
    <t>Category: Inventory / Utility / Subcontract / Tax / Interest / Staff / Other</t>
  </si>
  <si>
    <t>Status: Open / Paid / Partial / Overdue</t>
  </si>
  <si>
    <t>CF_Group: F1=Loan/Int  I1=Fixed asset  O1-O6=Operating expenses</t>
  </si>
  <si>
    <t>Bill_No</t>
  </si>
  <si>
    <t>Date</t>
  </si>
  <si>
    <t>Vendor_Code</t>
  </si>
  <si>
    <t>Vendor_Name</t>
  </si>
  <si>
    <t>Category</t>
  </si>
  <si>
    <t>Amount</t>
  </si>
  <si>
    <t>Credit_Term_Days</t>
  </si>
  <si>
    <t>Due_Date</t>
  </si>
  <si>
    <t>Amount_Paid</t>
  </si>
  <si>
    <t>Balance</t>
  </si>
  <si>
    <t>Status</t>
  </si>
  <si>
    <t>Entity</t>
  </si>
  <si>
    <t>CF_Group</t>
  </si>
  <si>
    <t>BL-2026-0301</t>
  </si>
  <si>
    <t>V001</t>
  </si>
  <si>
    <t>Honda Automobile (Thailand)</t>
  </si>
  <si>
    <t>Inventory</t>
  </si>
  <si>
    <t>Open</t>
  </si>
  <si>
    <t>HMW</t>
  </si>
  <si>
    <t>O2</t>
  </si>
  <si>
    <t>BL-2026-0302</t>
  </si>
  <si>
    <t>V002</t>
  </si>
  <si>
    <t>การไฟฟ้านครหลวง</t>
  </si>
  <si>
    <t>Utility</t>
  </si>
  <si>
    <t>Paid</t>
  </si>
  <si>
    <t>O4</t>
  </si>
  <si>
    <t>BL-2026-0303</t>
  </si>
  <si>
    <t>V003</t>
  </si>
  <si>
    <t>Kasikorn Bank - Loan</t>
  </si>
  <si>
    <t>Interest</t>
  </si>
  <si>
    <t>F1</t>
  </si>
  <si>
    <t>BL-2026-0304</t>
  </si>
  <si>
    <t>V004</t>
  </si>
  <si>
    <t>บริษัท ก่อสร้าง CCC จำกัด</t>
  </si>
  <si>
    <t>Subcontract</t>
  </si>
  <si>
    <t>Overdue</t>
  </si>
  <si>
    <t>O3</t>
  </si>
  <si>
    <t>BL-2026-0305</t>
  </si>
  <si>
    <t>V005</t>
  </si>
  <si>
    <t>กรมสรรพากร</t>
  </si>
  <si>
    <t>Tax</t>
  </si>
  <si>
    <t>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</si>
</sst>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4" fontId="4" fillId="0" borderId="1" xfId="0" applyNumberFormat="1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0E06-FC81-43B7-A45B-6662BC245ACF}">
  <dimension ref="A1:M10"/>
  <sheetViews>
    <sheetView tabSelected="1" workbookViewId="0"/>
  </sheetViews>
  <sheetFormatPr defaultRowHeight="14.25" x14ac:dyDescent="0.2"/>
  <cols>
    <col min="1" max="1" width="16.625" customWidth="1"/>
    <col min="2" max="3" width="12.625" customWidth="1"/>
    <col min="4" max="4" width="32.625" customWidth="1"/>
    <col min="5" max="10" width="14.625" customWidth="1"/>
    <col min="11" max="11" width="12.625" customWidth="1"/>
    <col min="12" max="12" width="10.625" customWidth="1"/>
    <col min="13" max="13" width="12.625" customWidth="1"/>
  </cols>
  <sheetData>
    <row r="1" spans="1:13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7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spans="1:13" x14ac:dyDescent="0.2">
      <c r="A6" s="6" t="s">
        <v>17</v>
      </c>
      <c r="B6" s="7">
        <v>46082</v>
      </c>
      <c r="C6" s="6" t="s">
        <v>18</v>
      </c>
      <c r="D6" s="6" t="s">
        <v>19</v>
      </c>
      <c r="E6" s="6" t="s">
        <v>20</v>
      </c>
      <c r="F6" s="6">
        <v>2500000</v>
      </c>
      <c r="G6" s="6">
        <v>45</v>
      </c>
      <c r="H6" s="7">
        <v>46127</v>
      </c>
      <c r="I6" s="6">
        <v>0</v>
      </c>
      <c r="J6" s="6">
        <f>F6-I6</f>
        <v>2500000</v>
      </c>
      <c r="K6" s="6" t="s">
        <v>21</v>
      </c>
      <c r="L6" s="6" t="s">
        <v>22</v>
      </c>
      <c r="M6" s="6" t="s">
        <v>23</v>
      </c>
    </row>
    <row r="7" spans="1:13" x14ac:dyDescent="0.2">
      <c r="A7" s="6" t="s">
        <v>24</v>
      </c>
      <c r="B7" s="7">
        <v>46083</v>
      </c>
      <c r="C7" s="6" t="s">
        <v>25</v>
      </c>
      <c r="D7" s="6" t="s">
        <v>26</v>
      </c>
      <c r="E7" s="6" t="s">
        <v>27</v>
      </c>
      <c r="F7" s="6">
        <v>85000</v>
      </c>
      <c r="G7" s="6">
        <v>30</v>
      </c>
      <c r="H7" s="7">
        <v>46113</v>
      </c>
      <c r="I7" s="6">
        <v>85000</v>
      </c>
      <c r="J7" s="6">
        <f>F7-I7</f>
        <v>0</v>
      </c>
      <c r="K7" s="6" t="s">
        <v>28</v>
      </c>
      <c r="L7" s="6" t="s">
        <v>22</v>
      </c>
      <c r="M7" s="6" t="s">
        <v>29</v>
      </c>
    </row>
    <row r="8" spans="1:13" x14ac:dyDescent="0.2">
      <c r="A8" s="6" t="s">
        <v>30</v>
      </c>
      <c r="B8" s="7">
        <v>46084</v>
      </c>
      <c r="C8" s="6" t="s">
        <v>31</v>
      </c>
      <c r="D8" s="6" t="s">
        <v>32</v>
      </c>
      <c r="E8" s="6" t="s">
        <v>33</v>
      </c>
      <c r="F8" s="6">
        <v>125000</v>
      </c>
      <c r="G8" s="6">
        <v>0</v>
      </c>
      <c r="H8" s="7">
        <v>46084</v>
      </c>
      <c r="I8" s="6">
        <v>125000</v>
      </c>
      <c r="J8" s="6">
        <f>F8-I8</f>
        <v>0</v>
      </c>
      <c r="K8" s="6" t="s">
        <v>28</v>
      </c>
      <c r="L8" s="6" t="s">
        <v>22</v>
      </c>
      <c r="M8" s="6" t="s">
        <v>34</v>
      </c>
    </row>
    <row r="9" spans="1:13" x14ac:dyDescent="0.2">
      <c r="A9" s="6" t="s">
        <v>35</v>
      </c>
      <c r="B9" s="7">
        <v>46068</v>
      </c>
      <c r="C9" s="6" t="s">
        <v>36</v>
      </c>
      <c r="D9" s="6" t="s">
        <v>37</v>
      </c>
      <c r="E9" s="6" t="s">
        <v>38</v>
      </c>
      <c r="F9" s="6">
        <v>580000</v>
      </c>
      <c r="G9" s="6">
        <v>30</v>
      </c>
      <c r="H9" s="7">
        <v>46098</v>
      </c>
      <c r="I9" s="6">
        <v>0</v>
      </c>
      <c r="J9" s="6">
        <f>F9-I9</f>
        <v>580000</v>
      </c>
      <c r="K9" s="6" t="s">
        <v>39</v>
      </c>
      <c r="L9" s="6" t="s">
        <v>22</v>
      </c>
      <c r="M9" s="6" t="s">
        <v>40</v>
      </c>
    </row>
    <row r="10" spans="1:13" x14ac:dyDescent="0.2">
      <c r="A10" s="6" t="s">
        <v>41</v>
      </c>
      <c r="B10" s="7">
        <v>46091</v>
      </c>
      <c r="C10" s="6" t="s">
        <v>42</v>
      </c>
      <c r="D10" s="6" t="s">
        <v>43</v>
      </c>
      <c r="E10" s="6" t="s">
        <v>44</v>
      </c>
      <c r="F10" s="6">
        <v>245000</v>
      </c>
      <c r="G10" s="6">
        <v>30</v>
      </c>
      <c r="H10" s="7">
        <v>46121</v>
      </c>
      <c r="I10" s="6">
        <v>0</v>
      </c>
      <c r="J10" s="6">
        <f>F10-I10</f>
        <v>245000</v>
      </c>
      <c r="K10" s="6" t="s">
        <v>21</v>
      </c>
      <c r="L10" s="6" t="s">
        <v>22</v>
      </c>
      <c r="M10" s="6" t="s">
        <v>45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2026-05-17T14:56:38Z</dcterms:created>
  <dcterms:modified xsi:type="dcterms:W3CDTF">2026-05-17T14:56:39Z</dcterms:modified>
</cp:coreProperties>
</file>