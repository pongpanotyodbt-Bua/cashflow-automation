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ashflow Automation\templates\"/>
    </mc:Choice>
  </mc:AlternateContent>
  <xr:revisionPtr revIDLastSave="0" documentId="8_{332E9E5B-F64F-468C-9128-CFF8212AB8EA}" xr6:coauthVersionLast="47" xr6:coauthVersionMax="47" xr10:uidLastSave="{00000000-0000-0000-0000-000000000000}"/>
  <bookViews>
    <workbookView xWindow="2730" yWindow="2730" windowWidth="21600" windowHeight="11505" xr2:uid="{24E6ACB8-7C03-41E9-A492-D3FF25BB1A75}"/>
  </bookViews>
  <sheets>
    <sheet name="Invoices" sheetId="1" r:id="rId1"/>
    <sheet name="Aging_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2" l="1"/>
  <c r="B8" i="2"/>
  <c r="C7" i="2"/>
  <c r="B7" i="2"/>
  <c r="C6" i="2"/>
  <c r="B6" i="2"/>
  <c r="C5" i="2"/>
  <c r="B5" i="2"/>
  <c r="C4" i="2"/>
  <c r="B4" i="2"/>
  <c r="J10" i="1"/>
  <c r="J9" i="1"/>
  <c r="J8" i="1"/>
  <c r="J7" i="1"/>
  <c r="J6" i="1"/>
</calcChain>
</file>

<file path=xl/sharedStrings.xml><?xml version="1.0" encoding="utf-8"?>
<sst xmlns="http://schemas.openxmlformats.org/spreadsheetml/2006/main" count="61" uniqueCount="50">
  <si>
    <t>AR / Invoices</t>
  </si>
  <si>
    <t>Customer_Type: Cash / Credit</t>
  </si>
  <si>
    <t>Status: Open / Paid / Partial / Overdue</t>
  </si>
  <si>
    <t>Balance column uses formula: Amount - Amount_Paid</t>
  </si>
  <si>
    <t>Invoice_No</t>
  </si>
  <si>
    <t>Date</t>
  </si>
  <si>
    <t>Customer_Code</t>
  </si>
  <si>
    <t>Customer_Name</t>
  </si>
  <si>
    <t>Customer_Type</t>
  </si>
  <si>
    <t>Amount</t>
  </si>
  <si>
    <t>Credit_Term_Days</t>
  </si>
  <si>
    <t>Due_Date</t>
  </si>
  <si>
    <t>Amount_Paid</t>
  </si>
  <si>
    <t>Balance</t>
  </si>
  <si>
    <t>Status</t>
  </si>
  <si>
    <t>Entity</t>
  </si>
  <si>
    <t>Segment</t>
  </si>
  <si>
    <t>INV-2026-0145</t>
  </si>
  <si>
    <t>C001</t>
  </si>
  <si>
    <t>บริษัท ABC จำกัด</t>
  </si>
  <si>
    <t>Credit</t>
  </si>
  <si>
    <t>Open</t>
  </si>
  <si>
    <t>HMW</t>
  </si>
  <si>
    <t>HONDA</t>
  </si>
  <si>
    <t>INV-2026-0146</t>
  </si>
  <si>
    <t>C002</t>
  </si>
  <si>
    <t>ลูกค้าทั่วไป</t>
  </si>
  <si>
    <t>Cash</t>
  </si>
  <si>
    <t>Paid</t>
  </si>
  <si>
    <t>TOK</t>
  </si>
  <si>
    <t>INV-2026-0147</t>
  </si>
  <si>
    <t>C003</t>
  </si>
  <si>
    <t>บริษัท XYZ Corp</t>
  </si>
  <si>
    <t>Partial</t>
  </si>
  <si>
    <t>FIN</t>
  </si>
  <si>
    <t>INV-2026-0148</t>
  </si>
  <si>
    <t>C004</t>
  </si>
  <si>
    <t>บริษัท Late Pay Ltd.</t>
  </si>
  <si>
    <t>Overdue</t>
  </si>
  <si>
    <t>INV-2026-0149</t>
  </si>
  <si>
    <t>C005</t>
  </si>
  <si>
    <t>ACG Holding (Internal)</t>
  </si>
  <si>
    <t>ACG</t>
  </si>
  <si>
    <t>MGT_HMW</t>
  </si>
  <si>
    <t>AR Aging Summary</t>
  </si>
  <si>
    <t>Bucket</t>
  </si>
  <si>
    <t>Count</t>
  </si>
  <si>
    <t>Total Outstanding</t>
  </si>
  <si>
    <t>Current (Not Due)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</si>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</sst>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b/>
      <sz val="14"/>
      <color theme="1"/>
      <name val="Tahoma"/>
      <family val="2"/>
      <scheme val="minor"/>
    </font>
    <font>
      <b/>
      <sz val="14"/>
      <color rgb="FF026BF0"/>
      <name val="Arial"/>
      <family val="2"/>
    </font>
    <font>
      <i/>
      <sz val="9"/>
      <color rgb="FF666666"/>
      <name val="Arial"/>
      <family val="2"/>
    </font>
    <font>
      <b/>
      <sz val="11"/>
      <color rgb="FFFFFFFF"/>
      <name val="Arial"/>
      <family val="2"/>
    </font>
    <font>
      <i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26B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1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/>
    <xf numFmtId="14" fontId="6" fillId="0" borderId="1" xfId="0" applyNumberFormat="1" applyFont="1" applyBorder="1"/>
    <xf numFmtId="0" fontId="2" fillId="0" borderId="0" xfId="0" applyFont="1"/>
    <xf numFmtId="4" fontId="0" fillId="0" borderId="0" xfId="0" applyNumberFormat="1"/>
    <xf numFmtId="4" fontId="1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0CF90-1854-4356-822D-8482B4EF5293}">
  <dimension ref="A1:M10"/>
  <sheetViews>
    <sheetView tabSelected="1" workbookViewId="0">
      <selection sqref="A1:M1"/>
    </sheetView>
  </sheetViews>
  <sheetFormatPr defaultRowHeight="14.25" x14ac:dyDescent="0.2"/>
  <cols>
    <col min="1" max="1" width="16.625" customWidth="1"/>
    <col min="2" max="2" width="12.625" customWidth="1"/>
    <col min="3" max="3" width="14.625" customWidth="1"/>
    <col min="4" max="4" width="28.625" customWidth="1"/>
    <col min="5" max="10" width="14.625" customWidth="1"/>
    <col min="11" max="11" width="12.625" customWidth="1"/>
    <col min="12" max="12" width="10.625" customWidth="1"/>
    <col min="13" max="13" width="12.625" customWidth="1"/>
  </cols>
  <sheetData>
    <row r="1" spans="1:13" ht="32.1" customHeight="1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2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">
      <c r="A3" s="4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">
      <c r="A4" s="4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27.95" customHeight="1" x14ac:dyDescent="0.2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</row>
    <row r="6" spans="1:13" x14ac:dyDescent="0.2">
      <c r="A6" s="7" t="s">
        <v>17</v>
      </c>
      <c r="B6" s="8">
        <v>46082</v>
      </c>
      <c r="C6" s="7" t="s">
        <v>18</v>
      </c>
      <c r="D6" s="7" t="s">
        <v>19</v>
      </c>
      <c r="E6" s="7" t="s">
        <v>20</v>
      </c>
      <c r="F6" s="7">
        <v>1500000</v>
      </c>
      <c r="G6" s="7">
        <v>30</v>
      </c>
      <c r="H6" s="8">
        <v>46112</v>
      </c>
      <c r="I6" s="7">
        <v>0</v>
      </c>
      <c r="J6" s="7">
        <f>F6-I6</f>
        <v>1500000</v>
      </c>
      <c r="K6" s="7" t="s">
        <v>21</v>
      </c>
      <c r="L6" s="7" t="s">
        <v>22</v>
      </c>
      <c r="M6" s="7" t="s">
        <v>23</v>
      </c>
    </row>
    <row r="7" spans="1:13" x14ac:dyDescent="0.2">
      <c r="A7" s="7" t="s">
        <v>24</v>
      </c>
      <c r="B7" s="8">
        <v>46084</v>
      </c>
      <c r="C7" s="7" t="s">
        <v>25</v>
      </c>
      <c r="D7" s="7" t="s">
        <v>26</v>
      </c>
      <c r="E7" s="7" t="s">
        <v>27</v>
      </c>
      <c r="F7" s="7">
        <v>350000</v>
      </c>
      <c r="G7" s="7">
        <v>0</v>
      </c>
      <c r="H7" s="8">
        <v>46084</v>
      </c>
      <c r="I7" s="7">
        <v>350000</v>
      </c>
      <c r="J7" s="7">
        <f>F7-I7</f>
        <v>0</v>
      </c>
      <c r="K7" s="7" t="s">
        <v>28</v>
      </c>
      <c r="L7" s="7" t="s">
        <v>22</v>
      </c>
      <c r="M7" s="7" t="s">
        <v>29</v>
      </c>
    </row>
    <row r="8" spans="1:13" x14ac:dyDescent="0.2">
      <c r="A8" s="7" t="s">
        <v>30</v>
      </c>
      <c r="B8" s="8">
        <v>46068</v>
      </c>
      <c r="C8" s="7" t="s">
        <v>31</v>
      </c>
      <c r="D8" s="7" t="s">
        <v>32</v>
      </c>
      <c r="E8" s="7" t="s">
        <v>20</v>
      </c>
      <c r="F8" s="7">
        <v>2200000</v>
      </c>
      <c r="G8" s="7">
        <v>60</v>
      </c>
      <c r="H8" s="8">
        <v>46128</v>
      </c>
      <c r="I8" s="7">
        <v>1100000</v>
      </c>
      <c r="J8" s="7">
        <f>F8-I8</f>
        <v>1100000</v>
      </c>
      <c r="K8" s="7" t="s">
        <v>33</v>
      </c>
      <c r="L8" s="7" t="s">
        <v>22</v>
      </c>
      <c r="M8" s="7" t="s">
        <v>34</v>
      </c>
    </row>
    <row r="9" spans="1:13" x14ac:dyDescent="0.2">
      <c r="A9" s="7" t="s">
        <v>35</v>
      </c>
      <c r="B9" s="8">
        <v>46032</v>
      </c>
      <c r="C9" s="7" t="s">
        <v>36</v>
      </c>
      <c r="D9" s="7" t="s">
        <v>37</v>
      </c>
      <c r="E9" s="7" t="s">
        <v>20</v>
      </c>
      <c r="F9" s="7">
        <v>800000</v>
      </c>
      <c r="G9" s="7">
        <v>30</v>
      </c>
      <c r="H9" s="8">
        <v>46062</v>
      </c>
      <c r="I9" s="7">
        <v>0</v>
      </c>
      <c r="J9" s="7">
        <f>F9-I9</f>
        <v>800000</v>
      </c>
      <c r="K9" s="7" t="s">
        <v>38</v>
      </c>
      <c r="L9" s="7" t="s">
        <v>22</v>
      </c>
      <c r="M9" s="7" t="s">
        <v>23</v>
      </c>
    </row>
    <row r="10" spans="1:13" x14ac:dyDescent="0.2">
      <c r="A10" s="7" t="s">
        <v>39</v>
      </c>
      <c r="B10" s="8">
        <v>46091</v>
      </c>
      <c r="C10" s="7" t="s">
        <v>40</v>
      </c>
      <c r="D10" s="7" t="s">
        <v>41</v>
      </c>
      <c r="E10" s="7" t="s">
        <v>20</v>
      </c>
      <c r="F10" s="7">
        <v>500000</v>
      </c>
      <c r="G10" s="7">
        <v>30</v>
      </c>
      <c r="H10" s="8">
        <v>46121</v>
      </c>
      <c r="I10" s="7">
        <v>0</v>
      </c>
      <c r="J10" s="7">
        <f>F10-I10</f>
        <v>500000</v>
      </c>
      <c r="K10" s="7" t="s">
        <v>21</v>
      </c>
      <c r="L10" s="7" t="s">
        <v>42</v>
      </c>
      <c r="M10" s="7" t="s">
        <v>43</v>
      </c>
    </row>
  </sheetData>
  <mergeCells count="4">
    <mergeCell ref="A1:M1"/>
    <mergeCell ref="A2:M2"/>
    <mergeCell ref="A3:M3"/>
    <mergeCell ref="A4:M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9F14A-DD7A-4E00-9B7F-E33EAEACCEAE}">
  <dimension ref="A1:C8"/>
  <sheetViews>
    <sheetView workbookViewId="0"/>
  </sheetViews>
  <sheetFormatPr defaultRowHeight="14.25" x14ac:dyDescent="0.2"/>
  <cols>
    <col min="1" max="1" width="22.625" customWidth="1"/>
    <col min="2" max="2" width="12.625" customWidth="1"/>
    <col min="3" max="3" width="22.625" customWidth="1"/>
  </cols>
  <sheetData>
    <row r="1" spans="1:3" ht="18" x14ac:dyDescent="0.25">
      <c r="A1" s="9" t="s">
        <v>44</v>
      </c>
    </row>
    <row r="3" spans="1:3" ht="27.95" customHeight="1" x14ac:dyDescent="0.2">
      <c r="A3" s="6" t="s">
        <v>45</v>
      </c>
      <c r="B3" s="6" t="s">
        <v>46</v>
      </c>
      <c r="C3" s="6" t="s">
        <v>47</v>
      </c>
    </row>
    <row r="4" spans="1:3" x14ac:dyDescent="0.2">
      <c r="A4" t="s">
        <v>48</v>
      </c>
      <c r="B4">
        <f>COUNTIF(Invoices!K:K,"Open")</f>
        <v>2</v>
      </c>
      <c r="C4" s="10">
        <f>SUMIF(Invoices!K:K,"Open",Invoices!J:J)</f>
        <v>2000000</v>
      </c>
    </row>
    <row r="5" spans="1:3" x14ac:dyDescent="0.2">
      <c r="A5" t="s">
        <v>33</v>
      </c>
      <c r="B5">
        <f>COUNTIF(Invoices!K:K,"Partial")</f>
        <v>1</v>
      </c>
      <c r="C5" s="10">
        <f>SUMIF(Invoices!K:K,"Partial",Invoices!J:J)</f>
        <v>1100000</v>
      </c>
    </row>
    <row r="6" spans="1:3" x14ac:dyDescent="0.2">
      <c r="A6" t="s">
        <v>38</v>
      </c>
      <c r="B6">
        <f>COUNTIF(Invoices!K:K,"Overdue")</f>
        <v>1</v>
      </c>
      <c r="C6" s="10">
        <f>SUMIF(Invoices!K:K,"Overdue",Invoices!J:J)</f>
        <v>800000</v>
      </c>
    </row>
    <row r="7" spans="1:3" x14ac:dyDescent="0.2">
      <c r="A7" t="s">
        <v>28</v>
      </c>
      <c r="B7">
        <f>COUNTIF(Invoices!K:K,"Paid")</f>
        <v>1</v>
      </c>
      <c r="C7" s="10">
        <f>SUMIF(Invoices!K:K,"Paid",Invoices!J:J)</f>
        <v>0</v>
      </c>
    </row>
    <row r="8" spans="1:3" x14ac:dyDescent="0.2">
      <c r="A8" s="5" t="s">
        <v>49</v>
      </c>
      <c r="B8">
        <f>SUM(B4:B7)</f>
        <v>5</v>
      </c>
      <c r="C8" s="11">
        <f>SUM(C4:C7)</f>
        <v>3900000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Invoices</vt:lpstr>
      <vt:lpstr>Aging_Summary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2026-05-17T14:56:36Z</dcterms:created>
  <dcterms:modified xsi:type="dcterms:W3CDTF">2026-05-17T14:56:37Z</dcterms:modified>
</cp:coreProperties>
</file>