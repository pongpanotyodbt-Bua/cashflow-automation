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16E68897-61C4-4A90-B55F-678881BD17E4}" xr6:coauthVersionLast="47" xr6:coauthVersionMax="47" xr10:uidLastSave="{00000000-0000-0000-0000-000000000000}"/>
  <bookViews>
    <workbookView xWindow="2730" yWindow="2730" windowWidth="21600" windowHeight="11505" xr2:uid="{72F8D6DE-15A1-49BB-9E29-F06FB6C931F3}"/>
  </bookViews>
  <sheets>
    <sheet name="GL_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<sst xmlns="http://schemas.openxmlformats.org/spreadsheetml/2006/main" count="55" uniqueCount="37">
  <si>
    <t>GL - General Ledger Entries</t>
  </si>
  <si>
    <t>Entities: ACG / HMW / CLIK / CONSO</t>
  </si>
  <si>
    <t>Segments (income): HMW: HONDA/TOK/INS/FIN/RENT  |  ACG: MGT_HMW/MGT_CLIK  |  CLIK: SVC</t>
  </si>
  <si>
    <t>Segments (expense): F1=Loan/Int  I1=Fixed asset  O1=Staff  O2=Inventory  O3=Subcon  O4=Utility  O5=Tax  O6=Other</t>
  </si>
  <si>
    <t>Date</t>
  </si>
  <si>
    <t>JE_No</t>
  </si>
  <si>
    <t>Account_Code</t>
  </si>
  <si>
    <t>Account_Name</t>
  </si>
  <si>
    <t>Description</t>
  </si>
  <si>
    <t>Debit</t>
  </si>
  <si>
    <t>Credit</t>
  </si>
  <si>
    <t>Reference</t>
  </si>
  <si>
    <t>Entity</t>
  </si>
  <si>
    <t>Segment</t>
  </si>
  <si>
    <t>JE-2026-0001</t>
  </si>
  <si>
    <t>เงินสด-ธนาคารกสิกร</t>
  </si>
  <si>
    <t>รับชำระจากลูกค้า Honda</t>
  </si>
  <si>
    <t>INV-2026-001</t>
  </si>
  <si>
    <t>HMW</t>
  </si>
  <si>
    <t>HONDA</t>
  </si>
  <si>
    <t>ลูกหนี้การค้า</t>
  </si>
  <si>
    <t>ตัดลูกหนี้ INV-001</t>
  </si>
  <si>
    <t>JE-2026-0002</t>
  </si>
  <si>
    <t>เงินเดือนพนักงาน</t>
  </si>
  <si>
    <t>จ่ายเงินเดือน มี.ค.</t>
  </si>
  <si>
    <t>PAY-202603</t>
  </si>
  <si>
    <t>O1</t>
  </si>
  <si>
    <t>JE-2026-0003</t>
  </si>
  <si>
    <t>ดอกเบี้ยจ่าย</t>
  </si>
  <si>
    <t>ดอกเบี้ยเงินกู้ระยะยาว</t>
  </si>
  <si>
    <t>LN-2025-01</t>
  </si>
  <si>
    <t>F1</t>
  </si>
  <si>
    <t>GL Upload Summary</t>
  </si>
  <si>
    <t>Total Debit:</t>
  </si>
  <si>
    <t>Total Credit:</t>
  </si>
  <si>
    <t>Difference (must be 0):</t>
  </si>
  <si>
    <t>Total Entries: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</si>
</sst>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/>
    <xf numFmtId="0" fontId="6" fillId="0" borderId="1" xfId="0" applyFont="1" applyBorder="1"/>
    <xf numFmtId="0" fontId="2" fillId="0" borderId="0" xfId="0" applyFont="1"/>
    <xf numFmtId="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2788-17C8-40C4-AEE8-F42872D10206}">
  <dimension ref="A1:J1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4.25" x14ac:dyDescent="0.2"/>
  <cols>
    <col min="1" max="1" width="12.625" customWidth="1"/>
    <col min="2" max="2" width="16.625" customWidth="1"/>
    <col min="3" max="3" width="12.625" customWidth="1"/>
    <col min="4" max="4" width="28.625" customWidth="1"/>
    <col min="5" max="5" width="35.625" customWidth="1"/>
    <col min="6" max="7" width="14.625" customWidth="1"/>
    <col min="8" max="8" width="16.625" customWidth="1"/>
    <col min="9" max="9" width="10.625" customWidth="1"/>
    <col min="10" max="10" width="12.625" customWidth="1"/>
  </cols>
  <sheetData>
    <row r="1" spans="1:10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ht="27.95" customHeight="1" x14ac:dyDescent="0.2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spans="1:10" x14ac:dyDescent="0.2">
      <c r="A6" s="7">
        <v>46082</v>
      </c>
      <c r="B6" s="8" t="s">
        <v>14</v>
      </c>
      <c r="C6" s="8">
        <v>1010</v>
      </c>
      <c r="D6" s="8" t="s">
        <v>15</v>
      </c>
      <c r="E6" s="8" t="s">
        <v>16</v>
      </c>
      <c r="F6" s="8">
        <v>1500000</v>
      </c>
      <c r="G6" s="8">
        <v>0</v>
      </c>
      <c r="H6" s="8" t="s">
        <v>17</v>
      </c>
      <c r="I6" s="8" t="s">
        <v>18</v>
      </c>
      <c r="J6" s="8" t="s">
        <v>19</v>
      </c>
    </row>
    <row r="7" spans="1:10" x14ac:dyDescent="0.2">
      <c r="A7" s="7">
        <v>46082</v>
      </c>
      <c r="B7" s="8" t="s">
        <v>14</v>
      </c>
      <c r="C7" s="8">
        <v>1130</v>
      </c>
      <c r="D7" s="8" t="s">
        <v>20</v>
      </c>
      <c r="E7" s="8" t="s">
        <v>21</v>
      </c>
      <c r="F7" s="8">
        <v>0</v>
      </c>
      <c r="G7" s="8">
        <v>1500000</v>
      </c>
      <c r="H7" s="8" t="s">
        <v>17</v>
      </c>
      <c r="I7" s="8" t="s">
        <v>18</v>
      </c>
      <c r="J7" s="8" t="s">
        <v>19</v>
      </c>
    </row>
    <row r="8" spans="1:10" x14ac:dyDescent="0.2">
      <c r="A8" s="7">
        <v>46083</v>
      </c>
      <c r="B8" s="8" t="s">
        <v>22</v>
      </c>
      <c r="C8" s="8">
        <v>5100</v>
      </c>
      <c r="D8" s="8" t="s">
        <v>23</v>
      </c>
      <c r="E8" s="8" t="s">
        <v>24</v>
      </c>
      <c r="F8" s="8">
        <v>850000</v>
      </c>
      <c r="G8" s="8">
        <v>0</v>
      </c>
      <c r="H8" s="8" t="s">
        <v>25</v>
      </c>
      <c r="I8" s="8" t="s">
        <v>18</v>
      </c>
      <c r="J8" s="8" t="s">
        <v>26</v>
      </c>
    </row>
    <row r="9" spans="1:10" x14ac:dyDescent="0.2">
      <c r="A9" s="7">
        <v>46083</v>
      </c>
      <c r="B9" s="8" t="s">
        <v>22</v>
      </c>
      <c r="C9" s="8">
        <v>1010</v>
      </c>
      <c r="D9" s="8" t="s">
        <v>15</v>
      </c>
      <c r="E9" s="8" t="s">
        <v>24</v>
      </c>
      <c r="F9" s="8">
        <v>0</v>
      </c>
      <c r="G9" s="8">
        <v>850000</v>
      </c>
      <c r="H9" s="8" t="s">
        <v>25</v>
      </c>
      <c r="I9" s="8" t="s">
        <v>18</v>
      </c>
      <c r="J9" s="8" t="s">
        <v>26</v>
      </c>
    </row>
    <row r="10" spans="1:10" x14ac:dyDescent="0.2">
      <c r="A10" s="7">
        <v>46086</v>
      </c>
      <c r="B10" s="8" t="s">
        <v>27</v>
      </c>
      <c r="C10" s="8">
        <v>5200</v>
      </c>
      <c r="D10" s="8" t="s">
        <v>28</v>
      </c>
      <c r="E10" s="8" t="s">
        <v>29</v>
      </c>
      <c r="F10" s="8">
        <v>125000</v>
      </c>
      <c r="G10" s="8">
        <v>0</v>
      </c>
      <c r="H10" s="8" t="s">
        <v>30</v>
      </c>
      <c r="I10" s="8" t="s">
        <v>18</v>
      </c>
      <c r="J10" s="8" t="s">
        <v>31</v>
      </c>
    </row>
    <row r="11" spans="1:10" x14ac:dyDescent="0.2">
      <c r="A11" s="7">
        <v>46086</v>
      </c>
      <c r="B11" s="8" t="s">
        <v>27</v>
      </c>
      <c r="C11" s="8">
        <v>1010</v>
      </c>
      <c r="D11" s="8" t="s">
        <v>15</v>
      </c>
      <c r="E11" s="8" t="s">
        <v>29</v>
      </c>
      <c r="F11" s="8">
        <v>0</v>
      </c>
      <c r="G11" s="8">
        <v>125000</v>
      </c>
      <c r="H11" s="8" t="s">
        <v>30</v>
      </c>
      <c r="I11" s="8" t="s">
        <v>18</v>
      </c>
      <c r="J11" s="8" t="s">
        <v>31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27D-D588-43AC-827E-E9BF89FCCD0D}">
  <dimension ref="A1:B6"/>
  <sheetViews>
    <sheetView workbookViewId="0"/>
  </sheetViews>
  <sheetFormatPr defaultRowHeight="14.25" x14ac:dyDescent="0.2"/>
  <cols>
    <col min="1" max="1" width="24.625" customWidth="1"/>
    <col min="2" max="2" width="18.625" customWidth="1"/>
  </cols>
  <sheetData>
    <row r="1" spans="1:2" ht="18" x14ac:dyDescent="0.25">
      <c r="A1" s="9" t="s">
        <v>32</v>
      </c>
    </row>
    <row r="3" spans="1:2" x14ac:dyDescent="0.2">
      <c r="A3" s="5" t="s">
        <v>33</v>
      </c>
      <c r="B3" s="10">
        <f>SUM(GL_Data!F:F)</f>
        <v>2475000</v>
      </c>
    </row>
    <row r="4" spans="1:2" x14ac:dyDescent="0.2">
      <c r="A4" s="5" t="s">
        <v>34</v>
      </c>
      <c r="B4" s="10">
        <f>SUM(GL_Data!G:G)</f>
        <v>2475000</v>
      </c>
    </row>
    <row r="5" spans="1:2" x14ac:dyDescent="0.2">
      <c r="A5" s="5" t="s">
        <v>35</v>
      </c>
      <c r="B5" s="10">
        <f>B3-B4</f>
        <v>0</v>
      </c>
    </row>
    <row r="6" spans="1:2" x14ac:dyDescent="0.2">
      <c r="A6" s="5" t="s">
        <v>36</v>
      </c>
      <c r="B6">
        <f>COUNTA(GL_Data!B:B)-3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GL_Data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2026-05-17T14:56:32Z</dcterms:created>
  <dcterms:modified xsi:type="dcterms:W3CDTF">2026-05-17T14:56:34Z</dcterms:modified>
</cp:coreProperties>
</file>