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53A22E34-E4DC-4F2F-8CBC-8FE4050957BA}" xr6:coauthVersionLast="47" xr6:coauthVersionMax="47" xr10:uidLastSave="{00000000-0000-0000-0000-000000000000}"/>
  <bookViews>
    <workbookView xWindow="2730" yWindow="2730" windowWidth="21600" windowHeight="11505" xr2:uid="{D0F169BC-275A-4A5B-9BFD-83419657D74D}"/>
  </bookViews>
  <sheets>
    <sheet name="Bank_Transactions" sheetId="1" r:id="rId1"/>
    <sheet name="Reconcili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5" i="2"/>
  <c r="B4" i="2"/>
  <c r="B3" i="2"/>
</calcChain>
</file>

<file path=xl/sharedStrings.xml><?xml version="1.0" encoding="utf-8"?>
<sst xmlns="http://schemas.openxmlformats.org/spreadsheetml/2006/main" count="60" uniqueCount="42">
  <si>
    <t>Bank Transactions</t>
  </si>
  <si>
    <t>Type: IN (เงินเข้า) / OUT (เงินออก)</t>
  </si>
  <si>
    <t>Status: Matched / Unmatched / Manual</t>
  </si>
  <si>
    <t>Date</t>
  </si>
  <si>
    <t>Bank_Account</t>
  </si>
  <si>
    <t>Type</t>
  </si>
  <si>
    <t>Amount</t>
  </si>
  <si>
    <t>Description</t>
  </si>
  <si>
    <t>Reference</t>
  </si>
  <si>
    <t>Category</t>
  </si>
  <si>
    <t>Balance</t>
  </si>
  <si>
    <t>Entity</t>
  </si>
  <si>
    <t>Status</t>
  </si>
  <si>
    <t>Kasikorn-001-2-34567-8</t>
  </si>
  <si>
    <t>IN</t>
  </si>
  <si>
    <t>TT INCOMING ABC CO</t>
  </si>
  <si>
    <t>INV-2026-0145</t>
  </si>
  <si>
    <t>Sales-Honda</t>
  </si>
  <si>
    <t>HMW</t>
  </si>
  <si>
    <t>Matched</t>
  </si>
  <si>
    <t>OUT</t>
  </si>
  <si>
    <t>PAYROLL MAR2026</t>
  </si>
  <si>
    <t>PAY-202603</t>
  </si>
  <si>
    <t>Staff Salary</t>
  </si>
  <si>
    <t>LOAN INT PMT</t>
  </si>
  <si>
    <t>LN-2025-01</t>
  </si>
  <si>
    <t>Interest</t>
  </si>
  <si>
    <t>CASH DEPOSIT</t>
  </si>
  <si>
    <t>INV-2026-0146</t>
  </si>
  <si>
    <t>Sales-Service</t>
  </si>
  <si>
    <t>BILL PAYMENT MEA</t>
  </si>
  <si>
    <t>BL-2026-0302</t>
  </si>
  <si>
    <t>Utility</t>
  </si>
  <si>
    <t>TRANSFER FEE</t>
  </si>
  <si>
    <t>Bank Fee</t>
  </si>
  <si>
    <t>Unmatched</t>
  </si>
  <si>
    <t>Bank Reconciliation Summary</t>
  </si>
  <si>
    <t>Total IN:</t>
  </si>
  <si>
    <t>Total OUT:</t>
  </si>
  <si>
    <t>Net Movement:</t>
  </si>
  <si>
    <t>Matched:</t>
  </si>
  <si>
    <t>Unmatched: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</si>
</sst>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/>
    <xf numFmtId="0" fontId="6" fillId="0" borderId="1" xfId="0" applyFont="1" applyBorder="1"/>
    <xf numFmtId="0" fontId="2" fillId="0" borderId="0" xfId="0" applyFont="1"/>
    <xf numFmtId="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5F79-79DA-411D-85E5-AABDD7C2A310}">
  <dimension ref="A1:J10"/>
  <sheetViews>
    <sheetView tabSelected="1" workbookViewId="0">
      <selection sqref="A1:J1"/>
    </sheetView>
  </sheetViews>
  <sheetFormatPr defaultRowHeight="14.25" x14ac:dyDescent="0.2"/>
  <cols>
    <col min="1" max="1" width="12.625" customWidth="1"/>
    <col min="2" max="2" width="22.625" customWidth="1"/>
    <col min="3" max="3" width="8.625" customWidth="1"/>
    <col min="4" max="4" width="14.625" customWidth="1"/>
    <col min="5" max="5" width="28.625" customWidth="1"/>
    <col min="6" max="8" width="16.625" customWidth="1"/>
    <col min="9" max="9" width="10.625" customWidth="1"/>
    <col min="10" max="10" width="12.625" customWidth="1"/>
  </cols>
  <sheetData>
    <row r="1" spans="1:10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spans="1:10" x14ac:dyDescent="0.2">
      <c r="A5" s="7">
        <v>46082</v>
      </c>
      <c r="B5" s="8" t="s">
        <v>13</v>
      </c>
      <c r="C5" s="8" t="s">
        <v>14</v>
      </c>
      <c r="D5" s="8">
        <v>1500000</v>
      </c>
      <c r="E5" s="8" t="s">
        <v>15</v>
      </c>
      <c r="F5" s="8" t="s">
        <v>16</v>
      </c>
      <c r="G5" s="8" t="s">
        <v>17</v>
      </c>
      <c r="H5" s="8">
        <v>466500000</v>
      </c>
      <c r="I5" s="8" t="s">
        <v>18</v>
      </c>
      <c r="J5" s="8" t="s">
        <v>19</v>
      </c>
    </row>
    <row r="6" spans="1:10" x14ac:dyDescent="0.2">
      <c r="A6" s="7">
        <v>46083</v>
      </c>
      <c r="B6" s="8" t="s">
        <v>13</v>
      </c>
      <c r="C6" s="8" t="s">
        <v>20</v>
      </c>
      <c r="D6" s="8">
        <v>850000</v>
      </c>
      <c r="E6" s="8" t="s">
        <v>21</v>
      </c>
      <c r="F6" s="8" t="s">
        <v>22</v>
      </c>
      <c r="G6" s="8" t="s">
        <v>23</v>
      </c>
      <c r="H6" s="8">
        <v>465650000</v>
      </c>
      <c r="I6" s="8" t="s">
        <v>18</v>
      </c>
      <c r="J6" s="8" t="s">
        <v>19</v>
      </c>
    </row>
    <row r="7" spans="1:10" x14ac:dyDescent="0.2">
      <c r="A7" s="7">
        <v>46084</v>
      </c>
      <c r="B7" s="8" t="s">
        <v>13</v>
      </c>
      <c r="C7" s="8" t="s">
        <v>20</v>
      </c>
      <c r="D7" s="8">
        <v>125000</v>
      </c>
      <c r="E7" s="8" t="s">
        <v>24</v>
      </c>
      <c r="F7" s="8" t="s">
        <v>25</v>
      </c>
      <c r="G7" s="8" t="s">
        <v>26</v>
      </c>
      <c r="H7" s="8">
        <v>465525000</v>
      </c>
      <c r="I7" s="8" t="s">
        <v>18</v>
      </c>
      <c r="J7" s="8" t="s">
        <v>19</v>
      </c>
    </row>
    <row r="8" spans="1:10" x14ac:dyDescent="0.2">
      <c r="A8" s="7">
        <v>46085</v>
      </c>
      <c r="B8" s="8" t="s">
        <v>13</v>
      </c>
      <c r="C8" s="8" t="s">
        <v>14</v>
      </c>
      <c r="D8" s="8">
        <v>350000</v>
      </c>
      <c r="E8" s="8" t="s">
        <v>27</v>
      </c>
      <c r="F8" s="8" t="s">
        <v>28</v>
      </c>
      <c r="G8" s="8" t="s">
        <v>29</v>
      </c>
      <c r="H8" s="8">
        <v>465875000</v>
      </c>
      <c r="I8" s="8" t="s">
        <v>18</v>
      </c>
      <c r="J8" s="8" t="s">
        <v>19</v>
      </c>
    </row>
    <row r="9" spans="1:10" x14ac:dyDescent="0.2">
      <c r="A9" s="7">
        <v>46086</v>
      </c>
      <c r="B9" s="8" t="s">
        <v>13</v>
      </c>
      <c r="C9" s="8" t="s">
        <v>20</v>
      </c>
      <c r="D9" s="8">
        <v>85000</v>
      </c>
      <c r="E9" s="8" t="s">
        <v>30</v>
      </c>
      <c r="F9" s="8" t="s">
        <v>31</v>
      </c>
      <c r="G9" s="8" t="s">
        <v>32</v>
      </c>
      <c r="H9" s="8">
        <v>465790000</v>
      </c>
      <c r="I9" s="8" t="s">
        <v>18</v>
      </c>
      <c r="J9" s="8" t="s">
        <v>19</v>
      </c>
    </row>
    <row r="10" spans="1:10" x14ac:dyDescent="0.2">
      <c r="A10" s="7">
        <v>46087</v>
      </c>
      <c r="B10" s="8" t="s">
        <v>13</v>
      </c>
      <c r="C10" s="8" t="s">
        <v>20</v>
      </c>
      <c r="D10" s="8">
        <v>42000</v>
      </c>
      <c r="E10" s="8" t="s">
        <v>33</v>
      </c>
      <c r="F10" s="8"/>
      <c r="G10" s="8" t="s">
        <v>34</v>
      </c>
      <c r="H10" s="8">
        <v>465748000</v>
      </c>
      <c r="I10" s="8" t="s">
        <v>18</v>
      </c>
      <c r="J10" s="8" t="s">
        <v>35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0280-755F-4E75-B807-74B86D0D7BE4}">
  <dimension ref="A1:B8"/>
  <sheetViews>
    <sheetView workbookViewId="0"/>
  </sheetViews>
  <sheetFormatPr defaultRowHeight="14.25" x14ac:dyDescent="0.2"/>
  <cols>
    <col min="1" max="2" width="20.625" customWidth="1"/>
  </cols>
  <sheetData>
    <row r="1" spans="1:2" ht="18" x14ac:dyDescent="0.25">
      <c r="A1" s="9" t="s">
        <v>36</v>
      </c>
    </row>
    <row r="3" spans="1:2" x14ac:dyDescent="0.2">
      <c r="A3" s="5" t="s">
        <v>37</v>
      </c>
      <c r="B3" s="10">
        <f>SUMIF(Bank_Transactions!C:C,"IN",Bank_Transactions!D:D)</f>
        <v>1850000</v>
      </c>
    </row>
    <row r="4" spans="1:2" x14ac:dyDescent="0.2">
      <c r="A4" s="5" t="s">
        <v>38</v>
      </c>
      <c r="B4" s="10">
        <f>SUMIF(Bank_Transactions!C:C,"OUT",Bank_Transactions!D:D)</f>
        <v>1102000</v>
      </c>
    </row>
    <row r="5" spans="1:2" x14ac:dyDescent="0.2">
      <c r="A5" s="5" t="s">
        <v>39</v>
      </c>
      <c r="B5" s="10">
        <f>B3-B4</f>
        <v>748000</v>
      </c>
    </row>
    <row r="7" spans="1:2" x14ac:dyDescent="0.2">
      <c r="A7" s="5" t="s">
        <v>40</v>
      </c>
      <c r="B7">
        <f>COUNTIF(Bank_Transactions!J:J,"Matched")</f>
        <v>5</v>
      </c>
    </row>
    <row r="8" spans="1:2" x14ac:dyDescent="0.2">
      <c r="A8" s="5" t="s">
        <v>41</v>
      </c>
      <c r="B8">
        <f>COUNTIF(Bank_Transactions!J:J,"Unmatched")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Bank_Transactions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2026-05-17T14:56:39Z</dcterms:created>
  <dcterms:modified xsi:type="dcterms:W3CDTF">2026-05-17T14:56:41Z</dcterms:modified>
</cp:coreProperties>
</file>