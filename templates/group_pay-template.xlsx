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panotyod.b\Desktop\"/>
    </mc:Choice>
  </mc:AlternateContent>
  <xr:revisionPtr revIDLastSave="0" documentId="8_{EB54F4F3-9F2C-4B96-8452-F019BD19ABDF}" xr6:coauthVersionLast="36" xr6:coauthVersionMax="36" xr10:uidLastSave="{00000000-0000-0000-0000-000000000000}"/>
  <bookViews>
    <workbookView xWindow="0" yWindow="0" windowWidth="19200" windowHeight="7430" xr2:uid="{47C1B632-9F55-42EF-A12A-6053CB4F0783}"/>
  </bookViews>
  <sheets>
    <sheet name="PAYMENT REPORT " sheetId="1" r:id="rId1"/>
  </sheets>
  <externalReferences>
    <externalReference r:id="rId2"/>
    <externalReference r:id="rId3"/>
  </externalReferences>
  <definedNames>
    <definedName name="_xlnm._FilterDatabase" localSheetId="0" hidden="1">'PAYMENT REPORT '!$C$12:$H$14</definedName>
    <definedName name="_xlnm.Print_Area" localSheetId="0">'PAYMENT REPORT '!$A$1:$H$197</definedName>
    <definedName name="_xlnm.Print_Titles" localSheetId="0">'PAYMENT REPORT '!$38:$38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2" i="1" l="1"/>
  <c r="D232" i="1"/>
  <c r="C232" i="1"/>
  <c r="E231" i="1"/>
  <c r="D231" i="1"/>
  <c r="C231" i="1"/>
  <c r="D230" i="1"/>
  <c r="C230" i="1"/>
  <c r="C228" i="1"/>
  <c r="C223" i="1"/>
  <c r="G214" i="1"/>
  <c r="E214" i="1"/>
  <c r="D214" i="1"/>
  <c r="C214" i="1"/>
  <c r="H212" i="1"/>
  <c r="H211" i="1"/>
  <c r="K209" i="1"/>
  <c r="D206" i="1"/>
  <c r="C206" i="1"/>
  <c r="F205" i="1"/>
  <c r="F213" i="1" s="1"/>
  <c r="D205" i="1"/>
  <c r="C205" i="1"/>
  <c r="H188" i="1"/>
  <c r="F206" i="1" s="1"/>
  <c r="F207" i="1" s="1"/>
  <c r="H184" i="1"/>
  <c r="H189" i="1" s="1"/>
  <c r="H177" i="1"/>
  <c r="G206" i="1" s="1"/>
  <c r="G207" i="1" s="1"/>
  <c r="H175" i="1"/>
  <c r="H178" i="1" s="1"/>
  <c r="H169" i="1"/>
  <c r="E206" i="1" s="1"/>
  <c r="H165" i="1"/>
  <c r="E205" i="1" s="1"/>
  <c r="E207" i="1" s="1"/>
  <c r="E215" i="1" s="1"/>
  <c r="H158" i="1"/>
  <c r="H108" i="1"/>
  <c r="H45" i="1"/>
  <c r="H159" i="1" s="1"/>
  <c r="H34" i="1"/>
  <c r="H24" i="1"/>
  <c r="H15" i="1"/>
  <c r="C204" i="1" s="1"/>
  <c r="H8" i="1"/>
  <c r="G8" i="1"/>
  <c r="F8" i="1"/>
  <c r="E8" i="1"/>
  <c r="D8" i="1"/>
  <c r="C8" i="1"/>
  <c r="H205" i="1" l="1"/>
  <c r="C207" i="1"/>
  <c r="C215" i="1" s="1"/>
  <c r="F214" i="1"/>
  <c r="F215" i="1" s="1"/>
  <c r="H213" i="1"/>
  <c r="H206" i="1"/>
  <c r="H214" i="1"/>
  <c r="H170" i="1"/>
  <c r="H35" i="1"/>
  <c r="H190" i="1" s="1"/>
  <c r="H200" i="1" s="1"/>
  <c r="D204" i="1"/>
  <c r="D207" i="1" s="1"/>
  <c r="D215" i="1" s="1"/>
  <c r="H204" i="1" l="1"/>
  <c r="H207" i="1" s="1"/>
  <c r="H2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HMW054</author>
  </authors>
  <commentList>
    <comment ref="C202" authorId="0" shapeId="0" xr:uid="{B1BB6DCF-E17A-4C62-BE11-127C21DE428F}">
      <text>
        <r>
          <rPr>
            <b/>
            <sz val="9"/>
            <color indexed="81"/>
            <rFont val="Tahoma"/>
            <family val="2"/>
          </rPr>
          <t>HMW054:</t>
        </r>
        <r>
          <rPr>
            <sz val="9"/>
            <color indexed="81"/>
            <rFont val="Tahoma"/>
            <family val="2"/>
          </rPr>
          <t xml:space="preserve">
สรุปยอดใน Payment Report </t>
        </r>
      </text>
    </comment>
    <comment ref="C209" authorId="0" shapeId="0" xr:uid="{C732065E-D2C3-431E-833A-BC7EB33EA84E}">
      <text>
        <r>
          <rPr>
            <b/>
            <sz val="9"/>
            <color indexed="81"/>
            <rFont val="Tahoma"/>
            <family val="2"/>
          </rPr>
          <t>HMW054:</t>
        </r>
        <r>
          <rPr>
            <sz val="9"/>
            <color indexed="81"/>
            <rFont val="Tahoma"/>
            <family val="2"/>
          </rPr>
          <t xml:space="preserve">
สรุปรายการที่ Up ขึ้นระบบ Bank</t>
        </r>
      </text>
    </comment>
  </commentList>
</comments>
</file>

<file path=xl/sharedStrings.xml><?xml version="1.0" encoding="utf-8"?>
<sst xmlns="http://schemas.openxmlformats.org/spreadsheetml/2006/main" count="731" uniqueCount="195">
  <si>
    <t>COMPANY</t>
  </si>
  <si>
    <t>BBL</t>
  </si>
  <si>
    <t>KBANK</t>
  </si>
  <si>
    <t>TTB</t>
  </si>
  <si>
    <t>KTB</t>
  </si>
  <si>
    <t>SCB</t>
  </si>
  <si>
    <t>Total</t>
  </si>
  <si>
    <t>ACG</t>
  </si>
  <si>
    <t>HMW</t>
  </si>
  <si>
    <t>CLIK</t>
  </si>
  <si>
    <t>Company</t>
  </si>
  <si>
    <t>Group</t>
  </si>
  <si>
    <t>Sub_Group</t>
  </si>
  <si>
    <t>Vendor</t>
  </si>
  <si>
    <t>Transaction</t>
  </si>
  <si>
    <t>Amount</t>
  </si>
  <si>
    <t>1. รายจ่ายบุคลากร</t>
  </si>
  <si>
    <t>1.1 เงินเดือน</t>
  </si>
  <si>
    <t>Payments--&gt;PIBatch--&gt;Search--&gt;Authorize</t>
  </si>
  <si>
    <t>เงินเดือน 05/2026</t>
  </si>
  <si>
    <t xml:space="preserve">1.3 ค่าเดินทางและที่พักพนักงาน </t>
  </si>
  <si>
    <t>ค่าใช้จ่ายในการเดินทาง-บริหาร</t>
  </si>
  <si>
    <t>7. รายการย้ายเงิน</t>
  </si>
  <si>
    <t>7. โอนย้ายเงิน</t>
  </si>
  <si>
    <t>Payments--&gt;Individual--&gt;Search--&gt;Authorize</t>
  </si>
  <si>
    <t>โอนย้ายเงิน ลงวันที่ 29/05/2026</t>
  </si>
  <si>
    <t>1.2 ค่าคอมมิชชั่น</t>
  </si>
  <si>
    <r>
      <t>ค่าคอมมิชชั่น</t>
    </r>
    <r>
      <rPr>
        <b/>
        <sz val="11"/>
        <color rgb="FF0070C0"/>
        <rFont val="TH Sarabun New"/>
        <family val="2"/>
      </rPr>
      <t xml:space="preserve"> (รอบวันที่ 10/06/2026)</t>
    </r>
  </si>
  <si>
    <t xml:space="preserve">1.4 ค่าเบี้ยเลี้ยงนักศึกษาฝึกงาน </t>
  </si>
  <si>
    <t xml:space="preserve">เบี้ยเลี้ยงนักศึกษาฝึกงาน </t>
  </si>
  <si>
    <t>1.5 ค่าประกันสังคม</t>
  </si>
  <si>
    <t>กองทุนเงินทดแทนประกันสังคม</t>
  </si>
  <si>
    <t>3. รายจ่ายSubcontract</t>
  </si>
  <si>
    <t>3.7 ค่าที่ปรึกษา/ค่าปฎิบัติงาน</t>
  </si>
  <si>
    <t>ค่าที่ปรึกษา</t>
  </si>
  <si>
    <t>โอนย้ายเงิน ลงวันที่ 05/06/2026</t>
  </si>
  <si>
    <t>เงินเดือน 01/2026</t>
  </si>
  <si>
    <t>กองทุนเงินทดแทน ประกันสังคม</t>
  </si>
  <si>
    <t>โอนย้ายเงิน ลงวันที่ 22/05/2026</t>
  </si>
  <si>
    <t>GrandTotal</t>
  </si>
  <si>
    <t>1.7 ค่ากยศ.</t>
  </si>
  <si>
    <t xml:space="preserve">เงิน กยศ. พนักงานค้างจ่าย 05/26 </t>
  </si>
  <si>
    <t>5. รายจ่ายอื่นๆ</t>
  </si>
  <si>
    <t>5.1 ค่าภาษี</t>
  </si>
  <si>
    <t>ภาษีหัก ณ ที่จ่าย ภงด.1 05/26 (บริหาร)</t>
  </si>
  <si>
    <t>5.4 เงินทดรอง/เงินสดย่อย</t>
  </si>
  <si>
    <t>เงินทดรอง/เกศกนก/กิจกรรมBuddyBuder</t>
  </si>
  <si>
    <t>5.7 ค่าใช้จ่ายอื่นๆ</t>
  </si>
  <si>
    <t>ค่าVibe codeปัญญาประดิษฐ์/สายนที</t>
  </si>
  <si>
    <t>ค่าธรรมเนียมลายเซ็นในเอกสาร</t>
  </si>
  <si>
    <t>ค่าเดินทางตัวแทนชาย25-26.05.26</t>
  </si>
  <si>
    <t>เงิน กยศ พนักงานค้างจ่าย 05-2026</t>
  </si>
  <si>
    <t>3.1 ค่าดำเนินการจดทะเบียน</t>
  </si>
  <si>
    <t>ค่าดำเนินการ/ค่าจดทะเบียน/27/05/2026</t>
  </si>
  <si>
    <t>ค่าดำเนินการ/ค่าจดทะเบียน/25/05/2026</t>
  </si>
  <si>
    <t>3.6 ค่าโบรกเกอร์</t>
  </si>
  <si>
    <t>ค่าป.1 บริษัทชับบ์สามัคคีประกันภัย จำกัด (มหาชน)</t>
  </si>
  <si>
    <t>ค่าป.1บริษัทอลิอันซ์ อยุธยา ประกันภัย จำกัด(มหาชน)</t>
  </si>
  <si>
    <t>4. รายจ่ายสาธารณูปโภค</t>
  </si>
  <si>
    <t>4.1 ค่ารักษาความปลอดภัย/ค่าทำความสะอาด</t>
  </si>
  <si>
    <t xml:space="preserve">ค่ารักษาความปลอดภัย 05/26 </t>
  </si>
  <si>
    <t>ค่ารักษาความปลอดภัย/สมยศ 05/26</t>
  </si>
  <si>
    <t>ค่ารักษาความปลอดภัย/ไชยยงค์ 05/26</t>
  </si>
  <si>
    <t>ค่ารักษาความปลอดภัย/ไพโรจน์ 05/26</t>
  </si>
  <si>
    <t>4.2 ค่าโทรศัพท์และอินเทอร์เน็ต</t>
  </si>
  <si>
    <t xml:space="preserve">ค่าอินเทอร์เน็ต  01-31/05/26 </t>
  </si>
  <si>
    <t>ภาษีหัก ณ ที่จ่าย ภงด 1 05-2026</t>
  </si>
  <si>
    <t>คืนเงินลูกค้า ค่ามัดจำรถยนต์ ป้ายแดง ค่าอะไหล่และอื่นๆ 29 รายการ</t>
  </si>
  <si>
    <t>เงินทดรอง/สุจิตรา/คชจ.ปฏิบัติงาน</t>
  </si>
  <si>
    <t>เงินทดรองค่าน้ำประปา</t>
  </si>
  <si>
    <t>เคลียร์เงินสดย่อย 6 รายการ</t>
  </si>
  <si>
    <t>เงินทดรอง/พิสิษฐ์/facebook 06/26</t>
  </si>
  <si>
    <t>เงินทดรอง/สุภาพร/ค่าตกแต่งโชว์รูม</t>
  </si>
  <si>
    <t>เงินทดรอง/พีระพงษ์/ทดลองขับ06/26</t>
  </si>
  <si>
    <t>เงินทดรอง/อัฐพล/ทอลองขับ 06/26</t>
  </si>
  <si>
    <t>เงินทดรอง/อานันท์/ทอรองขับ06.26</t>
  </si>
  <si>
    <t>เงินทดรอง/กชพร/ใบอนุญาต.(รง4)</t>
  </si>
  <si>
    <t>5.6 ค่าขนส่งอะไหล่เคลม</t>
  </si>
  <si>
    <t>ค่าขนส่งอะไหล่เคลม 05/26</t>
  </si>
  <si>
    <t>ทำบ่ดักตะกอน3จุด,เทปูนด้านหน้า</t>
  </si>
  <si>
    <t>TTP, TW-415-3K ประแจปอนด์ 1/2</t>
  </si>
  <si>
    <t>ตรวจสอบรับรองระบบไฟฟ้าประจำปี ตามกฎหมายกำหนด</t>
  </si>
  <si>
    <t>สติ๊กเกอร์สูญญากาศ PVC</t>
  </si>
  <si>
    <t>เสื้อช่าง Size : M</t>
  </si>
  <si>
    <t>ซองไปรษณีย์สีขาว25*33+4ซม.</t>
  </si>
  <si>
    <t xml:space="preserve">น้ำยาแอร์ </t>
  </si>
  <si>
    <t xml:space="preserve">สเปรย์แป้งเช็ครอยรั่วสีขาว </t>
  </si>
  <si>
    <t>กระดาษชำระม้วนโต</t>
  </si>
  <si>
    <t>สายลม 2 ชั้น (8/12) ND-001</t>
  </si>
  <si>
    <t xml:space="preserve">ค่าอาหารและเครื่องดื่มบริการลูกค้า </t>
  </si>
  <si>
    <t xml:space="preserve">กรอบป้ายทะเบียนสีดำ </t>
  </si>
  <si>
    <t>เทพื้นทับอุดรอยร้าวขนาด 100*200เมตร (รวมอุปกรณ์)</t>
  </si>
  <si>
    <t>ค่าแปลภาษาไทย-ญี่ปุ่น</t>
  </si>
  <si>
    <t>ค่าเดินทางk.ภานุมาศ20.05.26</t>
  </si>
  <si>
    <t>ค่าน้ำดื่มพนักงาน 05/26</t>
  </si>
  <si>
    <t xml:space="preserve">ถุงมือผ้าทอ 500G </t>
  </si>
  <si>
    <t>เงินช่วยเหลือฌาปนกิจสูยเสียบิดา</t>
  </si>
  <si>
    <t>กรอบป้ายทะเบียน (สีขาว)</t>
  </si>
  <si>
    <t>พิมพ์สติ๊กเกอร์ติดฟิวเจอร์บอร์ด ขนาด 30x75x53 cm.</t>
  </si>
  <si>
    <t>น้ำมันคอมแอร์ ผสมสารเช็ครั่วเรืองแสงยี่ห้อAir-pro</t>
  </si>
  <si>
    <t>ไมล์ DJI MIC MINI 2/00-POV2605-0007</t>
  </si>
  <si>
    <t>เทปกาวสองหน้า 3M 4229P 12mm X 33m</t>
  </si>
  <si>
    <t xml:space="preserve"> สเกิร์ตหลัง (สีพื้น) JAZZ 2017-2021 </t>
  </si>
  <si>
    <t>งานตัดหญ้าหน้าและหลัaงโชว์รูม</t>
  </si>
  <si>
    <t>ถุงดำขนาด 24x28</t>
  </si>
  <si>
    <t>ใบมีดเล็บ (สีเงิน)</t>
  </si>
  <si>
    <t>งานซ่อมสลิงแขวนป้ายบริษัท</t>
  </si>
  <si>
    <t xml:space="preserve">รองเท้านิรภัย X-PRO หัวเหล็ก สีดำ </t>
  </si>
  <si>
    <t>น้ำยาล้างเครื่องมอืภายนอกสีแดง</t>
  </si>
  <si>
    <t>Headset RAPOO(H100)</t>
  </si>
  <si>
    <t>วิทยุสื่อสาร BENISON BE-246</t>
  </si>
  <si>
    <t>เคเบื้ลไทร์ 12นิ้ว 5x300 mm. สีดำ</t>
  </si>
  <si>
    <t>เงินทดรอง/สุจิตรา/ค่าที่พัก06/26</t>
  </si>
  <si>
    <t>เคลียเงินทดรองค่าตั๋ว/โสภี</t>
  </si>
  <si>
    <t>เงิน กยศ. พนักงานค้างจ่าย 05/26</t>
  </si>
  <si>
    <t>1.9 สวัสดิการ/อบรม พนักงาน</t>
  </si>
  <si>
    <t>ค่าอุปสมบท/กิตติกูล ภูเขียว</t>
  </si>
  <si>
    <t>2. รายจ่ายรถยนต์และอะไหล่</t>
  </si>
  <si>
    <t>2.4 ค่าอะไหล่อื่นๆ</t>
  </si>
  <si>
    <t>แบตเตอรี่รถยนต์สามเค 3K 50B24L-MF</t>
  </si>
  <si>
    <t>4.3 ค่าน้ำและไฟฟ้า</t>
  </si>
  <si>
    <t>ค่าไฟฟ้า (00015) 05/2026 (6181หน่วย)</t>
  </si>
  <si>
    <t xml:space="preserve">ค่าน้ำประปา(00007) 05/26 </t>
  </si>
  <si>
    <t>ค่าภาษีป้าย ปี 2569 (00013)</t>
  </si>
  <si>
    <t>5.2 ค่าเช่าที่</t>
  </si>
  <si>
    <t xml:space="preserve">ค่าภาษีที่ดิน (00004) 06/26 </t>
  </si>
  <si>
    <t>ค่าเช่าที่ดิน (00003) 06/2026</t>
  </si>
  <si>
    <t xml:space="preserve">ค่าเช่าที่ดิน (00008) 06/2026 </t>
  </si>
  <si>
    <t xml:space="preserve">ค่าเช่าพื้นที่ (00014) 06/26 </t>
  </si>
  <si>
    <t>ค่าเช่าที่ดินพร้อมสิ่งปลูกสร้าง (00002) 07/2026</t>
  </si>
  <si>
    <t>ค่าเช่าที่ดินพร้อมสิ่งปลูกสร้าง (00001)07/2026</t>
  </si>
  <si>
    <t xml:space="preserve">ค่าเช่าที่ดิน (00013) 06/26 </t>
  </si>
  <si>
    <t>5.3 ค่าใช้จ่ายการตลาด</t>
  </si>
  <si>
    <t>เงินทดรอง/พิสิษฐ์/FB 01-15/06/26</t>
  </si>
  <si>
    <t>เคลียร์เงินสดย่อย 12 รายการ</t>
  </si>
  <si>
    <t>เงินทดรอง/กชพร/ต่อใบอนุญาต</t>
  </si>
  <si>
    <t>เคลียเงินทดรองโป๊วK.ธีรโชติ05/26</t>
  </si>
  <si>
    <t>5.5 คืนประกัน/มัดจำ</t>
  </si>
  <si>
    <t>คืนเงินลูกค้าค่าอะไหล่และอื่นๆ 5 รายการ</t>
  </si>
  <si>
    <t>ถุงขยะสีดำ หนาพิเศษ ขนาด 24"x28" (1 kg./ถุง)</t>
  </si>
  <si>
    <t>004 ค่าบริการ</t>
  </si>
  <si>
    <t>ค่าเปลี่ยนแบตเตอรี่ และหน้าจอIPAD</t>
  </si>
  <si>
    <t xml:space="preserve">พลาสติกรองเขี้ยวจับกะทะล้อ </t>
  </si>
  <si>
    <t>G4130-000-04L น้ำยาล้างจาน (4 ลิตร)</t>
  </si>
  <si>
    <t>สเปรย์แป้งเช็ครอยรั่ว สีขาว Neobond No.6</t>
  </si>
  <si>
    <t>ผ้าคลุมเบาะ</t>
  </si>
  <si>
    <t>Work Wage/ค่าจ้างทำงาน</t>
  </si>
  <si>
    <t>เครื่องดูดฝุ่นแบบถัง 21L 2200w CV-960F PG HITACHI</t>
  </si>
  <si>
    <t>เศษผ้าคละสีเย็บวนขนาด 10x10 1ถุง 25 กิโลกรัม</t>
  </si>
  <si>
    <t xml:space="preserve">สเปรย์ SONAX 400 ml. </t>
  </si>
  <si>
    <t>อักษรหมายเลข อะคลิลิค สีดำ 1-20</t>
  </si>
  <si>
    <t xml:space="preserve">ใบมีดเล็บ (สีเงิน) </t>
  </si>
  <si>
    <t>0011284 ยางไล่น้ำ30นิ้วด้ามอลูมิเนียมน้ำเงิน NCL V</t>
  </si>
  <si>
    <t>น้ำยาขจัดคราบมัน กรีนพลัส ขนาด 20 ลิตร</t>
  </si>
  <si>
    <t>สติ๊กเกอร์ พีพี Void แบตเตอรี่ ขนาด 6.5 x 4.0 cm.</t>
  </si>
  <si>
    <t>โฟมสบู่ล้างมือ 3.8L. ลักซ์ฟ้า</t>
  </si>
  <si>
    <t>ถุงมือผ้าทอ 500G BESTSAFE-COTTON 02-0002</t>
  </si>
  <si>
    <t>หมึก ACEGOAL CF226X</t>
  </si>
  <si>
    <t>ผ้าไมโครไฟเบอร์ 40X40 ซม. สีน้ำเงิน</t>
  </si>
  <si>
    <t>กระดาษชำระ JRT ยี่ห้อ Livi เกรดเวอร์จิ้น</t>
  </si>
  <si>
    <t>ยางรองขาลิฟท์ยกรถ STRONG/LAUNCH/ACC/JAS</t>
  </si>
  <si>
    <t>ดอกไขควงตอก ปากแฉก 3x80 มม. KTC,SDP-3</t>
  </si>
  <si>
    <t>แหวนรองทองแดง 12MM.</t>
  </si>
  <si>
    <t>6. รายจ่ายเกี่ยวกับ FIXED ASSETS</t>
  </si>
  <si>
    <t>6.2 ค่า FIXED ASSETS</t>
  </si>
  <si>
    <t>Fortinet FortiGate 60F Hardware 1Y Log Retention</t>
  </si>
  <si>
    <t>บริษัท ทรู อินเทอร์เน็ต คอร์ปอเรชั่น จำกัด</t>
  </si>
  <si>
    <t>ค่าอินเทอร์เน็ต</t>
  </si>
  <si>
    <t>บจก.ออโตคลิกบายเอซีจี</t>
  </si>
  <si>
    <t>เทศบาลนครขอนแก่น</t>
  </si>
  <si>
    <t>ภาษีที่ดินและสิ่งปลูกสร้าง (ประชา) ปี67</t>
  </si>
  <si>
    <t>โอนย้ายเงิน</t>
  </si>
  <si>
    <t>บจก.ฮอนด้ามลิวัลย์</t>
  </si>
  <si>
    <t>โอนย้ายเงิน ลงวันที่ 19/12/2025</t>
  </si>
  <si>
    <t>ภาษีที่ดินและสิ่งปลูกสร้างปี68</t>
  </si>
  <si>
    <t>สำนักงานเขตบางบอน</t>
  </si>
  <si>
    <t xml:space="preserve">ภาษีป้าย 2565-2568 (00004,00006) </t>
  </si>
  <si>
    <t>5.6 ค่าใช้จ่ายอื่นๆ</t>
  </si>
  <si>
    <t>กองทุนส่งเสริมและพัฒนาคุณภาพชีวิตคนพิการ</t>
  </si>
  <si>
    <t>เงินสมทบกองทุนคนพิการ ม.34 ปี 68</t>
  </si>
  <si>
    <t>CASH-OUTFLOW</t>
  </si>
  <si>
    <t>RECCHECKED</t>
  </si>
  <si>
    <t>PerDetail</t>
  </si>
  <si>
    <t>Per Bank</t>
  </si>
  <si>
    <t xml:space="preserve"> </t>
  </si>
  <si>
    <t>Diff.</t>
  </si>
  <si>
    <t>บัญชีธนาคาร</t>
  </si>
  <si>
    <t>260-7-253248</t>
  </si>
  <si>
    <t>038-1-70270-7</t>
  </si>
  <si>
    <t>260-5-99999-0</t>
  </si>
  <si>
    <t>003-8-21488-8</t>
  </si>
  <si>
    <t>630-2-71052-7</t>
  </si>
  <si>
    <t>264-467401-8</t>
  </si>
  <si>
    <t>073-2-89357-1</t>
  </si>
  <si>
    <t>495-2-69090-9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</si>
</sst>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rgb="FF0070C0"/>
      <name val="TH Sarabun New"/>
      <family val="2"/>
    </font>
    <font>
      <b/>
      <sz val="12"/>
      <color theme="0"/>
      <name val="TH Sarabun New"/>
      <family val="2"/>
    </font>
    <font>
      <b/>
      <sz val="11"/>
      <color theme="1"/>
      <name val="TH Sarabun New"/>
      <family val="2"/>
    </font>
    <font>
      <u/>
      <sz val="14"/>
      <color theme="0"/>
      <name val="TH Sarabun New"/>
      <family val="2"/>
    </font>
    <font>
      <b/>
      <sz val="11"/>
      <name val="TH Sarabun New"/>
      <family val="2"/>
    </font>
    <font>
      <sz val="11"/>
      <name val="TH Sarabun New"/>
      <family val="2"/>
    </font>
    <font>
      <b/>
      <sz val="11"/>
      <color rgb="FFC00000"/>
      <name val="TH Sarabun New"/>
      <family val="2"/>
    </font>
    <font>
      <b/>
      <sz val="10"/>
      <color rgb="FFC00000"/>
      <name val="TH Sarabun New"/>
      <family val="2"/>
    </font>
    <font>
      <b/>
      <sz val="11"/>
      <color theme="0"/>
      <name val="TH Sarabun New"/>
      <family val="2"/>
    </font>
    <font>
      <b/>
      <sz val="11"/>
      <color rgb="FF0070C0"/>
      <name val="TH Sarabun New"/>
      <family val="2"/>
    </font>
    <font>
      <b/>
      <sz val="11"/>
      <color rgb="FFFFC000"/>
      <name val="TH Sarabun New"/>
      <family val="2"/>
    </font>
    <font>
      <sz val="11"/>
      <color rgb="FFFF0000"/>
      <name val="TH Sarabun New"/>
      <family val="2"/>
    </font>
    <font>
      <u/>
      <sz val="14"/>
      <name val="TH Sarabun New"/>
      <family val="2"/>
    </font>
    <font>
      <b/>
      <sz val="11"/>
      <color theme="5" tint="-0.249977111117893"/>
      <name val="TH Sarabun New"/>
      <family val="2"/>
    </font>
    <font>
      <b/>
      <u/>
      <sz val="11"/>
      <color theme="0"/>
      <name val="TH Sarabun New"/>
      <family val="2"/>
    </font>
    <font>
      <b/>
      <i/>
      <sz val="11"/>
      <color rgb="FFC00000"/>
      <name val="TH Sarabun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863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gray125">
        <bgColor theme="8" tint="0.79995117038483843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64" fontId="2" fillId="0" borderId="0" xfId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4" fontId="5" fillId="2" borderId="4" xfId="1" applyFont="1" applyFill="1" applyBorder="1" applyAlignment="1">
      <alignment horizontal="center"/>
    </xf>
    <xf numFmtId="0" fontId="3" fillId="3" borderId="5" xfId="0" applyFont="1" applyFill="1" applyBorder="1"/>
    <xf numFmtId="164" fontId="3" fillId="0" borderId="6" xfId="1" applyFont="1" applyFill="1" applyBorder="1"/>
    <xf numFmtId="43" fontId="3" fillId="0" borderId="0" xfId="0" applyNumberFormat="1" applyFont="1"/>
    <xf numFmtId="0" fontId="3" fillId="3" borderId="7" xfId="0" applyFont="1" applyFill="1" applyBorder="1"/>
    <xf numFmtId="0" fontId="3" fillId="3" borderId="8" xfId="0" applyFont="1" applyFill="1" applyBorder="1"/>
    <xf numFmtId="0" fontId="6" fillId="3" borderId="9" xfId="0" applyFont="1" applyFill="1" applyBorder="1"/>
    <xf numFmtId="164" fontId="6" fillId="0" borderId="10" xfId="0" applyNumberFormat="1" applyFont="1" applyFill="1" applyBorder="1"/>
    <xf numFmtId="164" fontId="6" fillId="0" borderId="11" xfId="1" applyFont="1" applyFill="1" applyBorder="1"/>
    <xf numFmtId="0" fontId="6" fillId="0" borderId="0" xfId="0" applyFont="1"/>
    <xf numFmtId="0" fontId="7" fillId="4" borderId="12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Continuous"/>
    </xf>
    <xf numFmtId="164" fontId="8" fillId="5" borderId="15" xfId="1" applyFont="1" applyFill="1" applyBorder="1" applyAlignment="1">
      <alignment horizontal="center"/>
    </xf>
    <xf numFmtId="0" fontId="8" fillId="6" borderId="16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3" fillId="0" borderId="0" xfId="0" applyFont="1" applyBorder="1"/>
    <xf numFmtId="164" fontId="3" fillId="0" borderId="17" xfId="1" applyFont="1" applyBorder="1"/>
    <xf numFmtId="0" fontId="11" fillId="0" borderId="0" xfId="0" applyFont="1" applyFill="1" applyBorder="1"/>
    <xf numFmtId="0" fontId="6" fillId="5" borderId="12" xfId="0" applyFont="1" applyFill="1" applyBorder="1" applyAlignment="1">
      <alignment horizontal="right" vertical="top"/>
    </xf>
    <xf numFmtId="0" fontId="6" fillId="5" borderId="13" xfId="0" applyFont="1" applyFill="1" applyBorder="1" applyAlignment="1">
      <alignment horizontal="right" vertical="top"/>
    </xf>
    <xf numFmtId="0" fontId="12" fillId="6" borderId="16" xfId="0" applyFont="1" applyFill="1" applyBorder="1"/>
    <xf numFmtId="164" fontId="3" fillId="0" borderId="18" xfId="1" applyFont="1" applyBorder="1"/>
    <xf numFmtId="164" fontId="9" fillId="0" borderId="17" xfId="1" applyFont="1" applyBorder="1"/>
    <xf numFmtId="164" fontId="8" fillId="5" borderId="14" xfId="1" applyFont="1" applyFill="1" applyBorder="1" applyAlignment="1">
      <alignment horizontal="center"/>
    </xf>
    <xf numFmtId="0" fontId="14" fillId="6" borderId="16" xfId="0" applyFont="1" applyFill="1" applyBorder="1"/>
    <xf numFmtId="0" fontId="8" fillId="7" borderId="12" xfId="0" applyFont="1" applyFill="1" applyBorder="1" applyAlignment="1"/>
    <xf numFmtId="0" fontId="8" fillId="7" borderId="13" xfId="0" applyFont="1" applyFill="1" applyBorder="1" applyAlignment="1"/>
    <xf numFmtId="0" fontId="8" fillId="7" borderId="13" xfId="0" applyFont="1" applyFill="1" applyBorder="1" applyAlignment="1">
      <alignment horizontal="right"/>
    </xf>
    <xf numFmtId="164" fontId="8" fillId="7" borderId="14" xfId="1" applyFont="1" applyFill="1" applyBorder="1"/>
    <xf numFmtId="164" fontId="3" fillId="0" borderId="0" xfId="1" applyFont="1"/>
    <xf numFmtId="0" fontId="7" fillId="8" borderId="19" xfId="0" applyFont="1" applyFill="1" applyBorder="1" applyAlignment="1"/>
    <xf numFmtId="0" fontId="7" fillId="8" borderId="20" xfId="0" applyFont="1" applyFill="1" applyBorder="1" applyAlignment="1"/>
    <xf numFmtId="164" fontId="7" fillId="8" borderId="20" xfId="1" applyFont="1" applyFill="1" applyBorder="1" applyAlignment="1"/>
    <xf numFmtId="0" fontId="8" fillId="5" borderId="15" xfId="0" applyFont="1" applyFill="1" applyBorder="1" applyAlignment="1">
      <alignment horizontal="centerContinuous"/>
    </xf>
    <xf numFmtId="164" fontId="6" fillId="9" borderId="16" xfId="1" applyFont="1" applyFill="1" applyBorder="1"/>
    <xf numFmtId="0" fontId="9" fillId="0" borderId="0" xfId="0" applyFont="1" applyBorder="1"/>
    <xf numFmtId="0" fontId="3" fillId="0" borderId="0" xfId="0" applyFont="1" applyAlignment="1"/>
    <xf numFmtId="0" fontId="3" fillId="0" borderId="0" xfId="0" applyFont="1" applyBorder="1" applyAlignment="1"/>
    <xf numFmtId="164" fontId="3" fillId="0" borderId="17" xfId="1" applyFont="1" applyFill="1" applyBorder="1" applyAlignment="1">
      <alignment horizontal="center"/>
    </xf>
    <xf numFmtId="164" fontId="3" fillId="0" borderId="6" xfId="1" applyFont="1" applyBorder="1"/>
    <xf numFmtId="0" fontId="6" fillId="5" borderId="12" xfId="0" applyFont="1" applyFill="1" applyBorder="1" applyAlignment="1">
      <alignment horizontal="right" vertical="top"/>
    </xf>
    <xf numFmtId="0" fontId="6" fillId="5" borderId="13" xfId="0" applyFont="1" applyFill="1" applyBorder="1" applyAlignment="1">
      <alignment horizontal="right" vertical="top"/>
    </xf>
    <xf numFmtId="0" fontId="6" fillId="0" borderId="16" xfId="0" applyFont="1" applyFill="1" applyBorder="1" applyAlignment="1">
      <alignment horizontal="right" vertical="top"/>
    </xf>
    <xf numFmtId="0" fontId="6" fillId="0" borderId="0" xfId="0" applyFont="1" applyFill="1" applyBorder="1" applyAlignment="1">
      <alignment horizontal="right" vertical="top"/>
    </xf>
    <xf numFmtId="164" fontId="8" fillId="0" borderId="17" xfId="1" applyFont="1" applyFill="1" applyBorder="1" applyAlignment="1">
      <alignment horizontal="center"/>
    </xf>
    <xf numFmtId="0" fontId="3" fillId="0" borderId="0" xfId="0" applyFont="1" applyFill="1"/>
    <xf numFmtId="0" fontId="8" fillId="5" borderId="12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12" fillId="9" borderId="16" xfId="0" applyFont="1" applyFill="1" applyBorder="1"/>
    <xf numFmtId="164" fontId="3" fillId="0" borderId="21" xfId="1" applyFont="1" applyFill="1" applyBorder="1" applyAlignment="1"/>
    <xf numFmtId="164" fontId="3" fillId="0" borderId="17" xfId="1" applyFont="1" applyBorder="1" applyAlignment="1"/>
    <xf numFmtId="164" fontId="3" fillId="0" borderId="0" xfId="1" applyFont="1" applyFill="1" applyBorder="1" applyAlignment="1"/>
    <xf numFmtId="0" fontId="6" fillId="0" borderId="12" xfId="0" applyFont="1" applyFill="1" applyBorder="1" applyAlignment="1">
      <alignment horizontal="right" vertical="top"/>
    </xf>
    <xf numFmtId="0" fontId="6" fillId="0" borderId="13" xfId="0" applyFont="1" applyFill="1" applyBorder="1" applyAlignment="1">
      <alignment horizontal="right" vertical="top"/>
    </xf>
    <xf numFmtId="164" fontId="8" fillId="0" borderId="14" xfId="1" applyFont="1" applyFill="1" applyBorder="1" applyAlignment="1">
      <alignment horizontal="center"/>
    </xf>
    <xf numFmtId="0" fontId="14" fillId="9" borderId="16" xfId="0" applyFont="1" applyFill="1" applyBorder="1"/>
    <xf numFmtId="164" fontId="3" fillId="0" borderId="18" xfId="1" applyFont="1" applyFill="1" applyBorder="1"/>
    <xf numFmtId="164" fontId="3" fillId="0" borderId="17" xfId="1" applyFont="1" applyFill="1" applyBorder="1"/>
    <xf numFmtId="164" fontId="9" fillId="0" borderId="17" xfId="1" applyFont="1" applyFill="1" applyBorder="1"/>
    <xf numFmtId="0" fontId="15" fillId="0" borderId="0" xfId="0" applyFont="1" applyBorder="1"/>
    <xf numFmtId="164" fontId="3" fillId="0" borderId="17" xfId="1" applyFont="1" applyFill="1" applyBorder="1" applyAlignment="1"/>
    <xf numFmtId="0" fontId="8" fillId="10" borderId="12" xfId="0" applyFont="1" applyFill="1" applyBorder="1" applyAlignment="1"/>
    <xf numFmtId="0" fontId="8" fillId="10" borderId="13" xfId="0" applyFont="1" applyFill="1" applyBorder="1" applyAlignment="1"/>
    <xf numFmtId="0" fontId="8" fillId="10" borderId="13" xfId="0" applyFont="1" applyFill="1" applyBorder="1" applyAlignment="1">
      <alignment horizontal="right"/>
    </xf>
    <xf numFmtId="164" fontId="8" fillId="10" borderId="14" xfId="1" applyFont="1" applyFill="1" applyBorder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164" fontId="8" fillId="0" borderId="0" xfId="1" applyFont="1" applyFill="1" applyBorder="1"/>
    <xf numFmtId="0" fontId="16" fillId="11" borderId="12" xfId="0" applyFont="1" applyFill="1" applyBorder="1" applyAlignment="1">
      <alignment horizontal="left"/>
    </xf>
    <xf numFmtId="0" fontId="16" fillId="11" borderId="13" xfId="0" applyFont="1" applyFill="1" applyBorder="1" applyAlignment="1">
      <alignment horizontal="left"/>
    </xf>
    <xf numFmtId="0" fontId="16" fillId="11" borderId="14" xfId="0" applyFont="1" applyFill="1" applyBorder="1" applyAlignment="1">
      <alignment horizontal="left"/>
    </xf>
    <xf numFmtId="0" fontId="8" fillId="12" borderId="16" xfId="0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0" fontId="8" fillId="5" borderId="13" xfId="0" applyFont="1" applyFill="1" applyBorder="1" applyAlignment="1">
      <alignment horizontal="right" vertical="top"/>
    </xf>
    <xf numFmtId="0" fontId="17" fillId="12" borderId="16" xfId="0" applyFont="1" applyFill="1" applyBorder="1"/>
    <xf numFmtId="0" fontId="3" fillId="13" borderId="16" xfId="0" applyFont="1" applyFill="1" applyBorder="1"/>
    <xf numFmtId="0" fontId="6" fillId="5" borderId="22" xfId="0" applyFont="1" applyFill="1" applyBorder="1" applyAlignment="1">
      <alignment horizontal="right" vertical="top"/>
    </xf>
    <xf numFmtId="0" fontId="6" fillId="5" borderId="21" xfId="0" applyFont="1" applyFill="1" applyBorder="1" applyAlignment="1">
      <alignment horizontal="right" vertical="top"/>
    </xf>
    <xf numFmtId="164" fontId="8" fillId="5" borderId="18" xfId="1" applyFont="1" applyFill="1" applyBorder="1" applyAlignment="1">
      <alignment horizontal="center"/>
    </xf>
    <xf numFmtId="0" fontId="8" fillId="14" borderId="12" xfId="0" applyFont="1" applyFill="1" applyBorder="1" applyAlignment="1"/>
    <xf numFmtId="0" fontId="8" fillId="14" borderId="13" xfId="0" applyFont="1" applyFill="1" applyBorder="1" applyAlignment="1"/>
    <xf numFmtId="0" fontId="8" fillId="14" borderId="13" xfId="0" applyFont="1" applyFill="1" applyBorder="1" applyAlignment="1">
      <alignment horizontal="right"/>
    </xf>
    <xf numFmtId="164" fontId="8" fillId="14" borderId="14" xfId="1" applyFont="1" applyFill="1" applyBorder="1"/>
    <xf numFmtId="0" fontId="7" fillId="15" borderId="12" xfId="0" applyFont="1" applyFill="1" applyBorder="1" applyAlignment="1">
      <alignment horizontal="left"/>
    </xf>
    <xf numFmtId="0" fontId="7" fillId="15" borderId="13" xfId="0" applyFont="1" applyFill="1" applyBorder="1" applyAlignment="1">
      <alignment horizontal="left"/>
    </xf>
    <xf numFmtId="0" fontId="7" fillId="15" borderId="14" xfId="0" applyFont="1" applyFill="1" applyBorder="1" applyAlignment="1">
      <alignment horizontal="left"/>
    </xf>
    <xf numFmtId="0" fontId="8" fillId="16" borderId="16" xfId="0" applyFont="1" applyFill="1" applyBorder="1"/>
    <xf numFmtId="0" fontId="12" fillId="15" borderId="16" xfId="0" applyFont="1" applyFill="1" applyBorder="1"/>
    <xf numFmtId="0" fontId="16" fillId="17" borderId="12" xfId="0" applyFont="1" applyFill="1" applyBorder="1" applyAlignment="1">
      <alignment horizontal="left"/>
    </xf>
    <xf numFmtId="0" fontId="16" fillId="17" borderId="13" xfId="0" applyFont="1" applyFill="1" applyBorder="1" applyAlignment="1">
      <alignment horizontal="left"/>
    </xf>
    <xf numFmtId="0" fontId="16" fillId="17" borderId="14" xfId="0" applyFont="1" applyFill="1" applyBorder="1" applyAlignment="1">
      <alignment horizontal="left"/>
    </xf>
    <xf numFmtId="164" fontId="9" fillId="0" borderId="0" xfId="1" applyFont="1" applyFill="1" applyBorder="1"/>
    <xf numFmtId="0" fontId="17" fillId="16" borderId="16" xfId="0" applyFont="1" applyFill="1" applyBorder="1"/>
    <xf numFmtId="0" fontId="8" fillId="16" borderId="12" xfId="0" applyFont="1" applyFill="1" applyBorder="1" applyAlignment="1"/>
    <xf numFmtId="0" fontId="8" fillId="16" borderId="13" xfId="0" applyFont="1" applyFill="1" applyBorder="1" applyAlignment="1"/>
    <xf numFmtId="0" fontId="8" fillId="16" borderId="13" xfId="0" applyFont="1" applyFill="1" applyBorder="1" applyAlignment="1">
      <alignment horizontal="right"/>
    </xf>
    <xf numFmtId="164" fontId="8" fillId="16" borderId="14" xfId="1" applyFont="1" applyFill="1" applyBorder="1"/>
    <xf numFmtId="0" fontId="12" fillId="18" borderId="0" xfId="0" applyFont="1" applyFill="1" applyAlignment="1">
      <alignment horizontal="center"/>
    </xf>
    <xf numFmtId="164" fontId="12" fillId="18" borderId="0" xfId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164" fontId="12" fillId="0" borderId="0" xfId="1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8" fillId="19" borderId="23" xfId="0" applyFont="1" applyFill="1" applyBorder="1" applyAlignment="1">
      <alignment horizontal="center"/>
    </xf>
    <xf numFmtId="0" fontId="18" fillId="19" borderId="20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12" fillId="19" borderId="2" xfId="0" applyFont="1" applyFill="1" applyBorder="1" applyAlignment="1">
      <alignment horizontal="center"/>
    </xf>
    <xf numFmtId="0" fontId="12" fillId="19" borderId="3" xfId="0" applyFont="1" applyFill="1" applyBorder="1" applyAlignment="1">
      <alignment horizontal="center"/>
    </xf>
    <xf numFmtId="0" fontId="12" fillId="19" borderId="4" xfId="0" applyFont="1" applyFill="1" applyBorder="1" applyAlignment="1">
      <alignment horizontal="center"/>
    </xf>
    <xf numFmtId="164" fontId="12" fillId="19" borderId="4" xfId="1" applyFont="1" applyFill="1" applyBorder="1" applyAlignment="1">
      <alignment horizontal="center"/>
    </xf>
    <xf numFmtId="164" fontId="3" fillId="0" borderId="0" xfId="0" applyNumberFormat="1" applyFont="1"/>
    <xf numFmtId="164" fontId="3" fillId="0" borderId="25" xfId="0" applyNumberFormat="1" applyFont="1" applyFill="1" applyBorder="1"/>
    <xf numFmtId="164" fontId="3" fillId="0" borderId="19" xfId="0" applyNumberFormat="1" applyFont="1" applyFill="1" applyBorder="1"/>
    <xf numFmtId="164" fontId="3" fillId="0" borderId="19" xfId="1" applyFont="1" applyFill="1" applyBorder="1"/>
    <xf numFmtId="164" fontId="3" fillId="0" borderId="0" xfId="1" applyFont="1" applyBorder="1"/>
    <xf numFmtId="164" fontId="3" fillId="0" borderId="14" xfId="1" applyFont="1" applyFill="1" applyBorder="1"/>
    <xf numFmtId="164" fontId="3" fillId="0" borderId="15" xfId="0" applyNumberFormat="1" applyFont="1" applyFill="1" applyBorder="1"/>
    <xf numFmtId="164" fontId="3" fillId="0" borderId="26" xfId="0" applyNumberFormat="1" applyFont="1" applyFill="1" applyBorder="1"/>
    <xf numFmtId="164" fontId="3" fillId="0" borderId="22" xfId="1" applyFont="1" applyFill="1" applyBorder="1"/>
    <xf numFmtId="165" fontId="6" fillId="0" borderId="10" xfId="0" applyNumberFormat="1" applyFont="1" applyFill="1" applyBorder="1"/>
    <xf numFmtId="164" fontId="6" fillId="0" borderId="10" xfId="1" applyFont="1" applyFill="1" applyBorder="1"/>
    <xf numFmtId="164" fontId="3" fillId="0" borderId="16" xfId="1" applyFont="1" applyFill="1" applyBorder="1"/>
    <xf numFmtId="0" fontId="6" fillId="3" borderId="27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164" fontId="18" fillId="2" borderId="20" xfId="1" applyFont="1" applyFill="1" applyBorder="1" applyAlignment="1">
      <alignment horizontal="center"/>
    </xf>
    <xf numFmtId="164" fontId="3" fillId="0" borderId="0" xfId="0" applyNumberFormat="1" applyFont="1" applyBorder="1"/>
    <xf numFmtId="0" fontId="6" fillId="3" borderId="28" xfId="0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64" fontId="12" fillId="2" borderId="30" xfId="1" applyFont="1" applyFill="1" applyBorder="1" applyAlignment="1">
      <alignment horizontal="center"/>
    </xf>
    <xf numFmtId="0" fontId="6" fillId="3" borderId="25" xfId="0" applyFont="1" applyFill="1" applyBorder="1"/>
    <xf numFmtId="164" fontId="3" fillId="0" borderId="25" xfId="1" applyFont="1" applyFill="1" applyBorder="1"/>
    <xf numFmtId="0" fontId="6" fillId="3" borderId="15" xfId="0" applyFont="1" applyFill="1" applyBorder="1"/>
    <xf numFmtId="164" fontId="6" fillId="0" borderId="31" xfId="0" applyNumberFormat="1" applyFont="1" applyFill="1" applyBorder="1"/>
    <xf numFmtId="164" fontId="6" fillId="0" borderId="32" xfId="0" applyNumberFormat="1" applyFont="1" applyFill="1" applyBorder="1"/>
    <xf numFmtId="164" fontId="6" fillId="0" borderId="33" xfId="0" applyNumberFormat="1" applyFont="1" applyFill="1" applyBorder="1"/>
    <xf numFmtId="164" fontId="6" fillId="0" borderId="33" xfId="1" applyFont="1" applyFill="1" applyBorder="1"/>
    <xf numFmtId="0" fontId="19" fillId="20" borderId="9" xfId="0" applyFont="1" applyFill="1" applyBorder="1" applyAlignment="1">
      <alignment horizontal="center"/>
    </xf>
    <xf numFmtId="164" fontId="19" fillId="20" borderId="31" xfId="0" applyNumberFormat="1" applyFont="1" applyFill="1" applyBorder="1"/>
    <xf numFmtId="164" fontId="19" fillId="20" borderId="10" xfId="0" applyNumberFormat="1" applyFont="1" applyFill="1" applyBorder="1"/>
    <xf numFmtId="164" fontId="19" fillId="20" borderId="32" xfId="1" applyFont="1" applyFill="1" applyBorder="1"/>
    <xf numFmtId="4" fontId="3" fillId="0" borderId="0" xfId="0" applyNumberFormat="1" applyFont="1"/>
    <xf numFmtId="0" fontId="3" fillId="0" borderId="34" xfId="0" applyFont="1" applyBorder="1"/>
    <xf numFmtId="0" fontId="6" fillId="21" borderId="15" xfId="0" applyFont="1" applyFill="1" applyBorder="1" applyAlignment="1">
      <alignment horizontal="center"/>
    </xf>
    <xf numFmtId="0" fontId="18" fillId="22" borderId="12" xfId="0" applyFont="1" applyFill="1" applyBorder="1" applyAlignment="1">
      <alignment horizontal="center"/>
    </xf>
    <xf numFmtId="0" fontId="18" fillId="22" borderId="13" xfId="0" applyFont="1" applyFill="1" applyBorder="1" applyAlignment="1">
      <alignment horizontal="center"/>
    </xf>
    <xf numFmtId="0" fontId="18" fillId="22" borderId="14" xfId="0" applyFont="1" applyFill="1" applyBorder="1" applyAlignment="1">
      <alignment horizontal="center"/>
    </xf>
    <xf numFmtId="0" fontId="12" fillId="22" borderId="15" xfId="0" applyFont="1" applyFill="1" applyBorder="1" applyAlignment="1">
      <alignment horizontal="center"/>
    </xf>
    <xf numFmtId="0" fontId="6" fillId="21" borderId="15" xfId="0" applyFont="1" applyFill="1" applyBorder="1"/>
    <xf numFmtId="164" fontId="3" fillId="16" borderId="15" xfId="0" applyNumberFormat="1" applyFont="1" applyFill="1" applyBorder="1" applyAlignment="1">
      <alignment horizontal="center"/>
    </xf>
    <xf numFmtId="164" fontId="3" fillId="23" borderId="15" xfId="0" applyNumberFormat="1" applyFont="1" applyFill="1" applyBorder="1" applyAlignment="1">
      <alignment horizontal="center"/>
    </xf>
    <xf numFmtId="4" fontId="3" fillId="0" borderId="0" xfId="0" applyNumberFormat="1" applyFont="1" applyBorder="1"/>
    <xf numFmtId="4" fontId="3" fillId="0" borderId="15" xfId="0" applyNumberFormat="1" applyFont="1" applyBorder="1"/>
    <xf numFmtId="164" fontId="3" fillId="0" borderId="15" xfId="0" applyNumberFormat="1" applyFont="1" applyFill="1" applyBorder="1" applyAlignment="1">
      <alignment horizontal="right"/>
    </xf>
    <xf numFmtId="164" fontId="3" fillId="0" borderId="25" xfId="1" applyFont="1" applyBorder="1"/>
    <xf numFmtId="164" fontId="3" fillId="21" borderId="15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190</xdr:row>
      <xdr:rowOff>209550</xdr:rowOff>
    </xdr:from>
    <xdr:to>
      <xdr:col>3</xdr:col>
      <xdr:colOff>228689</xdr:colOff>
      <xdr:row>196</xdr:row>
      <xdr:rowOff>56661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1D232-B604-4785-AE78-7580B0CBDD77}"/>
            </a:ext>
          </a:extLst>
        </xdr:cNvPr>
        <xdr:cNvSpPr txBox="1"/>
      </xdr:nvSpPr>
      <xdr:spPr>
        <a:xfrm>
          <a:off x="184150" y="31610300"/>
          <a:ext cx="3422739" cy="945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ผู้จัดทำ</a:t>
          </a: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endParaRPr lang="th-TH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(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...........................................)</a:t>
          </a:r>
          <a:b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คุณหนึ่งฤทัย</a:t>
          </a:r>
          <a:r>
            <a:rPr lang="th-TH" sz="1400" baseline="0">
              <a:latin typeface="TH Sarabun New" panose="020B0500040200020003" pitchFamily="34" charset="-34"/>
              <a:cs typeface="TH Sarabun New" panose="020B0500040200020003" pitchFamily="34" charset="-34"/>
            </a:rPr>
            <a:t> อินทรพาณิชย์</a:t>
          </a: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3</xdr:col>
      <xdr:colOff>1276350</xdr:colOff>
      <xdr:row>190</xdr:row>
      <xdr:rowOff>190500</xdr:rowOff>
    </xdr:from>
    <xdr:to>
      <xdr:col>4</xdr:col>
      <xdr:colOff>2035175</xdr:colOff>
      <xdr:row>196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93671B-841E-44CF-BA20-E0B9CA35D757}"/>
            </a:ext>
          </a:extLst>
        </xdr:cNvPr>
        <xdr:cNvSpPr txBox="1"/>
      </xdr:nvSpPr>
      <xdr:spPr>
        <a:xfrm>
          <a:off x="4654550" y="31610300"/>
          <a:ext cx="3463925" cy="936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ผู้อนุมัติ</a:t>
          </a: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endParaRPr lang="th-TH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(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...........................................)</a:t>
          </a:r>
          <a:b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</a:b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5</xdr:col>
      <xdr:colOff>704851</xdr:colOff>
      <xdr:row>190</xdr:row>
      <xdr:rowOff>209550</xdr:rowOff>
    </xdr:from>
    <xdr:to>
      <xdr:col>7</xdr:col>
      <xdr:colOff>1181101</xdr:colOff>
      <xdr:row>196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6BB5FAD-80CE-4A7F-B04E-5EC168BA8942}"/>
            </a:ext>
          </a:extLst>
        </xdr:cNvPr>
        <xdr:cNvSpPr txBox="1"/>
      </xdr:nvSpPr>
      <xdr:spPr>
        <a:xfrm>
          <a:off x="10166351" y="31610300"/>
          <a:ext cx="4768850" cy="974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ผู้อนุมัติ</a:t>
          </a: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endParaRPr lang="th-TH" sz="14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pPr algn="ctr"/>
          <a:r>
            <a:rPr lang="th-TH" sz="1400">
              <a:latin typeface="TH Sarabun New" panose="020B0500040200020003" pitchFamily="34" charset="-34"/>
              <a:cs typeface="TH Sarabun New" panose="020B0500040200020003" pitchFamily="34" charset="-34"/>
            </a:rPr>
            <a:t>(</a:t>
          </a:r>
          <a: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  <a:t>...........................................)</a:t>
          </a:r>
          <a:br>
            <a:rPr lang="en-US" sz="1400">
              <a:latin typeface="TH Sarabun New" panose="020B0500040200020003" pitchFamily="34" charset="-34"/>
              <a:cs typeface="TH Sarabun New" panose="020B0500040200020003" pitchFamily="34" charset="-34"/>
            </a:rPr>
          </a:br>
          <a:endParaRPr lang="en-US" sz="14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mita.p/Desktop/pa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EPARTMENT%20FIN-CENTER\01.%20Working%20paper\01.%20Working%20papers_Daily\05.%20Payment%20list\PAYMENT%20REPORT\11.23\17.11.23%20GROUP_Payment%20Report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07"/>
      <sheetName val="11.07"/>
      <sheetName val="14.07"/>
      <sheetName val="PAYMENT REPORT "/>
      <sheetName val="Grouping"/>
      <sheetName val="BANK"/>
      <sheetName val="เปรียบเทียบ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p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66CD-CE35-4B08-A37A-87F15090D8BA}">
  <sheetPr>
    <tabColor rgb="FFFFC000"/>
    <pageSetUpPr fitToPage="1"/>
  </sheetPr>
  <dimension ref="A1:M237"/>
  <sheetViews>
    <sheetView tabSelected="1" topLeftCell="A133" zoomScale="40" zoomScaleNormal="40" zoomScaleSheetLayoutView="115" workbookViewId="0">
      <selection activeCell="H155" sqref="H155"/>
    </sheetView>
  </sheetViews>
  <sheetFormatPr defaultColWidth="9" defaultRowHeight="14"/>
  <cols>
    <col min="1" max="1" width="1.81640625" style="3" customWidth="1"/>
    <col min="2" max="2" width="15.1796875" style="3" bestFit="1" customWidth="1"/>
    <col min="3" max="3" width="31.36328125" style="3" bestFit="1" customWidth="1"/>
    <col min="4" max="4" width="38.7265625" style="3" bestFit="1" customWidth="1"/>
    <col min="5" max="5" width="48.36328125" style="3" bestFit="1" customWidth="1"/>
    <col min="6" max="6" width="57.1796875" style="3" bestFit="1" customWidth="1"/>
    <col min="7" max="7" width="5.54296875" style="3" bestFit="1" customWidth="1"/>
    <col min="8" max="8" width="15.6328125" style="46" bestFit="1" customWidth="1"/>
    <col min="9" max="9" width="13.81640625" style="3" customWidth="1"/>
    <col min="10" max="10" width="1.54296875" style="3" bestFit="1" customWidth="1"/>
    <col min="11" max="11" width="6.7265625" style="3" bestFit="1" customWidth="1"/>
    <col min="12" max="12" width="18.6328125" style="3" bestFit="1" customWidth="1"/>
    <col min="13" max="13" width="11.1796875" style="3" bestFit="1" customWidth="1"/>
    <col min="14" max="16384" width="9" style="3"/>
  </cols>
  <sheetData>
    <row r="1" spans="2:12" ht="20">
      <c r="B1" s="1"/>
      <c r="C1" s="2"/>
      <c r="D1" s="2"/>
      <c r="E1" s="2"/>
      <c r="F1" s="2"/>
      <c r="G1" s="2"/>
      <c r="H1" s="2"/>
    </row>
    <row r="2" spans="2:12" ht="20">
      <c r="C2" s="4"/>
      <c r="D2" s="4"/>
      <c r="E2" s="4"/>
      <c r="F2" s="4"/>
      <c r="G2" s="4"/>
      <c r="H2" s="4"/>
    </row>
    <row r="3" spans="2:12" ht="20.5" thickBot="1">
      <c r="F3" s="5"/>
      <c r="G3" s="5"/>
      <c r="H3" s="6"/>
    </row>
    <row r="4" spans="2:12" ht="16" thickBot="1">
      <c r="B4" s="7" t="s">
        <v>0</v>
      </c>
      <c r="C4" s="8" t="s">
        <v>1</v>
      </c>
      <c r="D4" s="9" t="s">
        <v>2</v>
      </c>
      <c r="E4" s="9" t="s">
        <v>3</v>
      </c>
      <c r="F4" s="10" t="s">
        <v>4</v>
      </c>
      <c r="G4" s="10" t="s">
        <v>5</v>
      </c>
      <c r="H4" s="11" t="s">
        <v>6</v>
      </c>
    </row>
    <row r="5" spans="2:12">
      <c r="B5" s="12" t="s">
        <v>7</v>
      </c>
      <c r="C5" s="13"/>
      <c r="D5" s="13"/>
      <c r="E5" s="13"/>
      <c r="F5" s="13"/>
      <c r="G5" s="13"/>
      <c r="H5" s="13"/>
      <c r="L5" s="14"/>
    </row>
    <row r="6" spans="2:12">
      <c r="B6" s="15" t="s">
        <v>8</v>
      </c>
      <c r="C6" s="13"/>
      <c r="D6" s="13"/>
      <c r="E6" s="13"/>
      <c r="F6" s="13"/>
      <c r="G6" s="13"/>
      <c r="H6" s="13"/>
      <c r="L6" s="14"/>
    </row>
    <row r="7" spans="2:12" ht="14.5" thickBot="1">
      <c r="B7" s="16" t="s">
        <v>9</v>
      </c>
      <c r="C7" s="13"/>
      <c r="D7" s="13"/>
      <c r="E7" s="13"/>
      <c r="F7" s="13"/>
      <c r="G7" s="13"/>
      <c r="H7" s="13"/>
      <c r="L7" s="14"/>
    </row>
    <row r="8" spans="2:12" s="20" customFormat="1" ht="14.5" thickBot="1">
      <c r="B8" s="17" t="s">
        <v>6</v>
      </c>
      <c r="C8" s="18">
        <f>SUM(C5:C7)</f>
        <v>0</v>
      </c>
      <c r="D8" s="18">
        <f t="shared" ref="D8:G8" si="0">SUM(D5:D7)</f>
        <v>0</v>
      </c>
      <c r="E8" s="18">
        <f t="shared" si="0"/>
        <v>0</v>
      </c>
      <c r="F8" s="18">
        <f t="shared" si="0"/>
        <v>0</v>
      </c>
      <c r="G8" s="18">
        <f t="shared" si="0"/>
        <v>0</v>
      </c>
      <c r="H8" s="19">
        <f>SUM(H5:H7)</f>
        <v>0</v>
      </c>
      <c r="L8" s="14"/>
    </row>
    <row r="9" spans="2:12" ht="20">
      <c r="F9" s="5"/>
      <c r="G9" s="5"/>
      <c r="H9" s="6"/>
      <c r="L9" s="14"/>
    </row>
    <row r="10" spans="2:12" ht="17.5">
      <c r="B10" s="21" t="s">
        <v>1</v>
      </c>
      <c r="C10" s="22"/>
      <c r="D10" s="22"/>
      <c r="E10" s="22"/>
      <c r="F10" s="22"/>
      <c r="G10" s="22"/>
      <c r="H10" s="23"/>
      <c r="L10" s="14"/>
    </row>
    <row r="11" spans="2:12">
      <c r="B11" s="24" t="s">
        <v>10</v>
      </c>
      <c r="C11" s="24" t="s">
        <v>11</v>
      </c>
      <c r="D11" s="25" t="s">
        <v>12</v>
      </c>
      <c r="E11" s="25" t="s">
        <v>13</v>
      </c>
      <c r="F11" s="26" t="s">
        <v>14</v>
      </c>
      <c r="G11" s="26"/>
      <c r="H11" s="27" t="s">
        <v>15</v>
      </c>
      <c r="L11" s="14"/>
    </row>
    <row r="12" spans="2:12" hidden="1">
      <c r="B12" s="28" t="s">
        <v>7</v>
      </c>
      <c r="C12" s="29" t="s">
        <v>16</v>
      </c>
      <c r="D12" s="30" t="s">
        <v>17</v>
      </c>
      <c r="E12" s="31" t="s">
        <v>18</v>
      </c>
      <c r="F12" s="32" t="s">
        <v>19</v>
      </c>
      <c r="G12" s="32"/>
      <c r="H12" s="33"/>
      <c r="L12" s="14"/>
    </row>
    <row r="13" spans="2:12">
      <c r="B13" s="28" t="s">
        <v>7</v>
      </c>
      <c r="C13" s="29" t="s">
        <v>16</v>
      </c>
      <c r="D13" s="30" t="s">
        <v>20</v>
      </c>
      <c r="E13" s="31"/>
      <c r="F13" s="32" t="s">
        <v>21</v>
      </c>
      <c r="G13" s="32"/>
      <c r="H13" s="33"/>
      <c r="L13" s="14"/>
    </row>
    <row r="14" spans="2:12" hidden="1">
      <c r="B14" s="28" t="s">
        <v>7</v>
      </c>
      <c r="C14" s="29" t="s">
        <v>22</v>
      </c>
      <c r="D14" s="30" t="s">
        <v>23</v>
      </c>
      <c r="E14" s="34" t="s">
        <v>24</v>
      </c>
      <c r="F14" s="29" t="s">
        <v>25</v>
      </c>
      <c r="G14" s="32"/>
      <c r="H14" s="33"/>
      <c r="L14" s="14"/>
    </row>
    <row r="15" spans="2:12">
      <c r="B15" s="35"/>
      <c r="C15" s="36"/>
      <c r="D15" s="36"/>
      <c r="E15" s="36"/>
      <c r="F15" s="36" t="s">
        <v>6</v>
      </c>
      <c r="G15" s="36"/>
      <c r="H15" s="27">
        <f>SUM(H12:H14)</f>
        <v>0</v>
      </c>
      <c r="L15" s="14"/>
    </row>
    <row r="16" spans="2:12">
      <c r="B16" s="24" t="s">
        <v>10</v>
      </c>
      <c r="C16" s="24" t="s">
        <v>11</v>
      </c>
      <c r="D16" s="24" t="s">
        <v>12</v>
      </c>
      <c r="E16" s="25" t="s">
        <v>13</v>
      </c>
      <c r="F16" s="26" t="s">
        <v>14</v>
      </c>
      <c r="G16" s="26"/>
      <c r="H16" s="27" t="s">
        <v>15</v>
      </c>
      <c r="L16" s="14"/>
    </row>
    <row r="17" spans="2:12" hidden="1">
      <c r="B17" s="37" t="s">
        <v>8</v>
      </c>
      <c r="C17" s="29" t="s">
        <v>16</v>
      </c>
      <c r="D17" s="30" t="s">
        <v>26</v>
      </c>
      <c r="E17" s="31" t="s">
        <v>18</v>
      </c>
      <c r="F17" s="32" t="s">
        <v>27</v>
      </c>
      <c r="G17" s="32"/>
      <c r="H17" s="38"/>
      <c r="L17" s="14"/>
    </row>
    <row r="18" spans="2:12" hidden="1">
      <c r="B18" s="37" t="s">
        <v>8</v>
      </c>
      <c r="C18" s="29" t="s">
        <v>16</v>
      </c>
      <c r="D18" s="30" t="s">
        <v>17</v>
      </c>
      <c r="E18" s="31" t="s">
        <v>18</v>
      </c>
      <c r="F18" s="32" t="s">
        <v>19</v>
      </c>
      <c r="G18" s="32"/>
      <c r="H18" s="33"/>
      <c r="L18" s="14"/>
    </row>
    <row r="19" spans="2:12">
      <c r="B19" s="37" t="s">
        <v>8</v>
      </c>
      <c r="C19" s="29" t="s">
        <v>16</v>
      </c>
      <c r="D19" s="30" t="s">
        <v>20</v>
      </c>
      <c r="E19" s="31"/>
      <c r="F19" s="29" t="s">
        <v>21</v>
      </c>
      <c r="G19" s="32"/>
      <c r="H19" s="33"/>
      <c r="L19" s="14"/>
    </row>
    <row r="20" spans="2:12">
      <c r="B20" s="37" t="s">
        <v>8</v>
      </c>
      <c r="C20" s="29" t="s">
        <v>16</v>
      </c>
      <c r="D20" s="30" t="s">
        <v>28</v>
      </c>
      <c r="E20" s="34"/>
      <c r="F20" s="29" t="s">
        <v>29</v>
      </c>
      <c r="G20" s="32"/>
      <c r="H20" s="33"/>
      <c r="L20" s="14"/>
    </row>
    <row r="21" spans="2:12" hidden="1">
      <c r="B21" s="37" t="s">
        <v>8</v>
      </c>
      <c r="C21" s="29" t="s">
        <v>16</v>
      </c>
      <c r="D21" s="30" t="s">
        <v>30</v>
      </c>
      <c r="E21" s="31"/>
      <c r="F21" s="32" t="s">
        <v>31</v>
      </c>
      <c r="G21" s="32"/>
      <c r="H21" s="33"/>
      <c r="L21" s="14"/>
    </row>
    <row r="22" spans="2:12" hidden="1">
      <c r="B22" s="37" t="s">
        <v>8</v>
      </c>
      <c r="C22" s="29" t="s">
        <v>32</v>
      </c>
      <c r="D22" s="30" t="s">
        <v>33</v>
      </c>
      <c r="E22" s="31"/>
      <c r="F22" s="32" t="s">
        <v>34</v>
      </c>
      <c r="G22" s="32"/>
      <c r="H22" s="39"/>
      <c r="L22" s="14"/>
    </row>
    <row r="23" spans="2:12">
      <c r="B23" s="37" t="s">
        <v>8</v>
      </c>
      <c r="C23" s="29" t="s">
        <v>22</v>
      </c>
      <c r="D23" s="30" t="s">
        <v>23</v>
      </c>
      <c r="E23" s="34"/>
      <c r="F23" s="29" t="s">
        <v>35</v>
      </c>
      <c r="G23" s="29"/>
      <c r="H23" s="33"/>
      <c r="L23" s="14"/>
    </row>
    <row r="24" spans="2:12" ht="18.75" customHeight="1">
      <c r="B24" s="35"/>
      <c r="C24" s="36"/>
      <c r="D24" s="36"/>
      <c r="E24" s="36"/>
      <c r="F24" s="36" t="s">
        <v>6</v>
      </c>
      <c r="G24" s="36"/>
      <c r="H24" s="40">
        <f>SUM(H17:H23)</f>
        <v>0</v>
      </c>
      <c r="L24" s="14"/>
    </row>
    <row r="25" spans="2:12" s="32" customFormat="1">
      <c r="B25" s="24" t="s">
        <v>10</v>
      </c>
      <c r="C25" s="24" t="s">
        <v>11</v>
      </c>
      <c r="D25" s="24" t="s">
        <v>12</v>
      </c>
      <c r="E25" s="25" t="s">
        <v>13</v>
      </c>
      <c r="F25" s="26" t="s">
        <v>14</v>
      </c>
      <c r="G25" s="26"/>
      <c r="H25" s="27" t="s">
        <v>15</v>
      </c>
      <c r="L25" s="14"/>
    </row>
    <row r="26" spans="2:12" s="32" customFormat="1" hidden="1">
      <c r="B26" s="41" t="s">
        <v>9</v>
      </c>
      <c r="C26" s="29" t="s">
        <v>16</v>
      </c>
      <c r="D26" s="30" t="s">
        <v>17</v>
      </c>
      <c r="E26" s="31" t="s">
        <v>18</v>
      </c>
      <c r="F26" s="32" t="s">
        <v>19</v>
      </c>
      <c r="H26" s="33"/>
      <c r="L26" s="14"/>
    </row>
    <row r="27" spans="2:12" s="32" customFormat="1" hidden="1">
      <c r="B27" s="41" t="s">
        <v>9</v>
      </c>
      <c r="C27" s="29" t="s">
        <v>16</v>
      </c>
      <c r="D27" s="30" t="s">
        <v>17</v>
      </c>
      <c r="E27" s="31" t="s">
        <v>18</v>
      </c>
      <c r="F27" s="32" t="s">
        <v>36</v>
      </c>
      <c r="H27" s="39"/>
      <c r="L27" s="14"/>
    </row>
    <row r="28" spans="2:12" s="32" customFormat="1">
      <c r="B28" s="41" t="s">
        <v>9</v>
      </c>
      <c r="C28" s="29" t="s">
        <v>16</v>
      </c>
      <c r="D28" s="30" t="s">
        <v>20</v>
      </c>
      <c r="E28" s="34"/>
      <c r="F28" s="29" t="s">
        <v>21</v>
      </c>
      <c r="H28" s="39"/>
      <c r="L28" s="14"/>
    </row>
    <row r="29" spans="2:12" s="32" customFormat="1">
      <c r="B29" s="41" t="s">
        <v>9</v>
      </c>
      <c r="C29" s="29" t="s">
        <v>16</v>
      </c>
      <c r="D29" s="30" t="s">
        <v>28</v>
      </c>
      <c r="E29" s="34"/>
      <c r="F29" s="29" t="s">
        <v>29</v>
      </c>
      <c r="H29" s="33"/>
      <c r="L29" s="14"/>
    </row>
    <row r="30" spans="2:12" s="32" customFormat="1" hidden="1">
      <c r="B30" s="41" t="s">
        <v>9</v>
      </c>
      <c r="C30" s="29" t="s">
        <v>32</v>
      </c>
      <c r="D30" s="30" t="s">
        <v>33</v>
      </c>
      <c r="E30" s="31" t="s">
        <v>18</v>
      </c>
      <c r="F30" s="32" t="s">
        <v>34</v>
      </c>
      <c r="H30" s="33"/>
      <c r="L30" s="14"/>
    </row>
    <row r="31" spans="2:12" s="32" customFormat="1" ht="18" hidden="1" customHeight="1">
      <c r="B31" s="41" t="s">
        <v>9</v>
      </c>
      <c r="C31" s="29" t="s">
        <v>16</v>
      </c>
      <c r="D31" s="30" t="s">
        <v>30</v>
      </c>
      <c r="E31" s="31" t="s">
        <v>18</v>
      </c>
      <c r="F31" s="32" t="s">
        <v>37</v>
      </c>
      <c r="H31" s="33"/>
      <c r="L31" s="14"/>
    </row>
    <row r="32" spans="2:12" s="32" customFormat="1" ht="18" hidden="1" customHeight="1">
      <c r="B32" s="41" t="s">
        <v>9</v>
      </c>
      <c r="C32" s="29" t="s">
        <v>22</v>
      </c>
      <c r="D32" s="30" t="s">
        <v>23</v>
      </c>
      <c r="E32" s="34" t="s">
        <v>24</v>
      </c>
      <c r="F32" s="29" t="s">
        <v>38</v>
      </c>
      <c r="H32" s="33"/>
      <c r="L32" s="14"/>
    </row>
    <row r="33" spans="2:12" s="32" customFormat="1" hidden="1">
      <c r="B33" s="41" t="s">
        <v>9</v>
      </c>
      <c r="C33" s="29" t="s">
        <v>32</v>
      </c>
      <c r="D33" s="30" t="s">
        <v>33</v>
      </c>
      <c r="E33" s="34" t="s">
        <v>18</v>
      </c>
      <c r="F33" s="29" t="s">
        <v>34</v>
      </c>
      <c r="H33" s="39"/>
      <c r="L33" s="14"/>
    </row>
    <row r="34" spans="2:12">
      <c r="B34" s="35"/>
      <c r="C34" s="36"/>
      <c r="D34" s="36"/>
      <c r="E34" s="36"/>
      <c r="F34" s="36" t="s">
        <v>6</v>
      </c>
      <c r="G34" s="36"/>
      <c r="H34" s="40">
        <f>SUM(H26:H33)</f>
        <v>0</v>
      </c>
      <c r="L34" s="14"/>
    </row>
    <row r="35" spans="2:12">
      <c r="B35" s="42"/>
      <c r="C35" s="43"/>
      <c r="D35" s="43"/>
      <c r="E35" s="43"/>
      <c r="F35" s="44" t="s">
        <v>39</v>
      </c>
      <c r="G35" s="44"/>
      <c r="H35" s="45">
        <f>H15+H24+H34</f>
        <v>0</v>
      </c>
      <c r="L35" s="14"/>
    </row>
    <row r="36" spans="2:12">
      <c r="L36" s="14"/>
    </row>
    <row r="37" spans="2:12" ht="17.5">
      <c r="B37" s="47" t="s">
        <v>2</v>
      </c>
      <c r="C37" s="48"/>
      <c r="D37" s="48"/>
      <c r="E37" s="48"/>
      <c r="F37" s="48"/>
      <c r="G37" s="48"/>
      <c r="H37" s="49"/>
      <c r="L37" s="14"/>
    </row>
    <row r="38" spans="2:12">
      <c r="B38" s="24" t="s">
        <v>10</v>
      </c>
      <c r="C38" s="24" t="s">
        <v>11</v>
      </c>
      <c r="D38" s="24" t="s">
        <v>12</v>
      </c>
      <c r="E38" s="24" t="s">
        <v>13</v>
      </c>
      <c r="F38" s="50" t="s">
        <v>14</v>
      </c>
      <c r="G38" s="50"/>
      <c r="H38" s="27" t="s">
        <v>15</v>
      </c>
      <c r="L38" s="14"/>
    </row>
    <row r="39" spans="2:12">
      <c r="B39" s="51" t="s">
        <v>7</v>
      </c>
      <c r="C39" s="52" t="s">
        <v>16</v>
      </c>
      <c r="D39" s="52" t="s">
        <v>40</v>
      </c>
      <c r="E39" s="32"/>
      <c r="F39" s="53" t="s">
        <v>41</v>
      </c>
      <c r="G39" s="54"/>
      <c r="H39" s="55"/>
      <c r="L39" s="14"/>
    </row>
    <row r="40" spans="2:12">
      <c r="B40" s="51" t="s">
        <v>7</v>
      </c>
      <c r="C40" s="52" t="s">
        <v>42</v>
      </c>
      <c r="D40" s="52" t="s">
        <v>43</v>
      </c>
      <c r="E40" s="32"/>
      <c r="F40" s="54" t="s">
        <v>44</v>
      </c>
      <c r="G40" s="54"/>
      <c r="H40" s="55"/>
      <c r="L40" s="14"/>
    </row>
    <row r="41" spans="2:12">
      <c r="B41" s="51" t="s">
        <v>7</v>
      </c>
      <c r="C41" s="52" t="s">
        <v>42</v>
      </c>
      <c r="D41" s="52" t="s">
        <v>45</v>
      </c>
      <c r="E41" s="32"/>
      <c r="F41" s="53" t="s">
        <v>46</v>
      </c>
      <c r="G41" s="54"/>
      <c r="H41" s="55"/>
      <c r="L41" s="14"/>
    </row>
    <row r="42" spans="2:12">
      <c r="B42" s="51" t="s">
        <v>7</v>
      </c>
      <c r="C42" s="52" t="s">
        <v>42</v>
      </c>
      <c r="D42" s="52" t="s">
        <v>47</v>
      </c>
      <c r="E42" s="32"/>
      <c r="F42" s="53" t="s">
        <v>48</v>
      </c>
      <c r="G42" s="54"/>
      <c r="H42" s="55"/>
      <c r="L42" s="14"/>
    </row>
    <row r="43" spans="2:12">
      <c r="B43" s="51" t="s">
        <v>7</v>
      </c>
      <c r="C43" s="52" t="s">
        <v>42</v>
      </c>
      <c r="D43" s="52" t="s">
        <v>47</v>
      </c>
      <c r="E43" s="32"/>
      <c r="F43" s="53" t="s">
        <v>49</v>
      </c>
      <c r="G43" s="54"/>
      <c r="H43" s="55"/>
      <c r="L43" s="14"/>
    </row>
    <row r="44" spans="2:12">
      <c r="B44" s="51" t="s">
        <v>7</v>
      </c>
      <c r="H44" s="56"/>
      <c r="L44" s="14"/>
    </row>
    <row r="45" spans="2:12">
      <c r="B45" s="57" t="s">
        <v>6</v>
      </c>
      <c r="C45" s="58"/>
      <c r="D45" s="58"/>
      <c r="E45" s="58"/>
      <c r="F45" s="58"/>
      <c r="G45" s="36"/>
      <c r="H45" s="40">
        <f>SUM(H39:H43)</f>
        <v>0</v>
      </c>
      <c r="L45" s="14"/>
    </row>
    <row r="46" spans="2:12" s="62" customFormat="1">
      <c r="B46" s="59"/>
      <c r="C46" s="60"/>
      <c r="D46" s="60"/>
      <c r="E46" s="60"/>
      <c r="F46" s="60"/>
      <c r="G46" s="60"/>
      <c r="H46" s="61"/>
      <c r="L46" s="14"/>
    </row>
    <row r="47" spans="2:12" s="32" customFormat="1" ht="18" customHeight="1">
      <c r="B47" s="24" t="s">
        <v>10</v>
      </c>
      <c r="C47" s="24" t="s">
        <v>11</v>
      </c>
      <c r="D47" s="24" t="s">
        <v>12</v>
      </c>
      <c r="E47" s="24" t="s">
        <v>13</v>
      </c>
      <c r="F47" s="63" t="s">
        <v>14</v>
      </c>
      <c r="G47" s="64"/>
      <c r="H47" s="27" t="s">
        <v>15</v>
      </c>
      <c r="L47" s="14"/>
    </row>
    <row r="48" spans="2:12" s="32" customFormat="1" ht="18" customHeight="1">
      <c r="B48" s="65" t="s">
        <v>8</v>
      </c>
      <c r="C48" s="52" t="s">
        <v>16</v>
      </c>
      <c r="D48" s="52" t="s">
        <v>20</v>
      </c>
      <c r="F48" s="53" t="s">
        <v>50</v>
      </c>
      <c r="G48" s="66"/>
      <c r="H48" s="67"/>
      <c r="L48" s="14"/>
    </row>
    <row r="49" spans="2:12" s="32" customFormat="1" ht="18" customHeight="1">
      <c r="B49" s="65" t="s">
        <v>8</v>
      </c>
      <c r="C49" s="52" t="s">
        <v>16</v>
      </c>
      <c r="D49" s="52" t="s">
        <v>40</v>
      </c>
      <c r="F49" s="53" t="s">
        <v>51</v>
      </c>
      <c r="G49" s="68"/>
      <c r="H49" s="67"/>
      <c r="L49" s="14"/>
    </row>
    <row r="50" spans="2:12" s="32" customFormat="1" ht="18" customHeight="1">
      <c r="B50" s="65" t="s">
        <v>8</v>
      </c>
      <c r="C50" s="52" t="s">
        <v>32</v>
      </c>
      <c r="D50" s="52" t="s">
        <v>52</v>
      </c>
      <c r="F50" s="53" t="s">
        <v>53</v>
      </c>
      <c r="G50" s="68"/>
      <c r="H50" s="67"/>
      <c r="L50" s="14"/>
    </row>
    <row r="51" spans="2:12" s="32" customFormat="1" ht="18" customHeight="1">
      <c r="B51" s="65" t="s">
        <v>8</v>
      </c>
      <c r="C51" s="52" t="s">
        <v>32</v>
      </c>
      <c r="D51" s="52" t="s">
        <v>52</v>
      </c>
      <c r="F51" s="53" t="s">
        <v>54</v>
      </c>
      <c r="G51" s="68"/>
      <c r="H51" s="67"/>
      <c r="L51" s="14"/>
    </row>
    <row r="52" spans="2:12" s="32" customFormat="1" ht="18" customHeight="1">
      <c r="B52" s="65" t="s">
        <v>8</v>
      </c>
      <c r="C52" s="52" t="s">
        <v>32</v>
      </c>
      <c r="D52" s="52" t="s">
        <v>55</v>
      </c>
      <c r="F52" s="53" t="s">
        <v>56</v>
      </c>
      <c r="G52" s="68"/>
      <c r="H52" s="67"/>
      <c r="L52" s="14"/>
    </row>
    <row r="53" spans="2:12" s="32" customFormat="1" ht="18" customHeight="1">
      <c r="B53" s="65" t="s">
        <v>8</v>
      </c>
      <c r="C53" s="52" t="s">
        <v>32</v>
      </c>
      <c r="D53" s="52" t="s">
        <v>55</v>
      </c>
      <c r="F53" s="53" t="s">
        <v>57</v>
      </c>
      <c r="G53" s="68"/>
      <c r="H53" s="67"/>
      <c r="L53" s="14"/>
    </row>
    <row r="54" spans="2:12" s="32" customFormat="1" ht="18" customHeight="1">
      <c r="B54" s="65" t="s">
        <v>8</v>
      </c>
      <c r="C54" s="52" t="s">
        <v>58</v>
      </c>
      <c r="D54" s="52" t="s">
        <v>59</v>
      </c>
      <c r="F54" s="53" t="s">
        <v>60</v>
      </c>
      <c r="G54" s="68"/>
      <c r="H54" s="67"/>
      <c r="L54" s="14"/>
    </row>
    <row r="55" spans="2:12" s="32" customFormat="1" ht="18" customHeight="1">
      <c r="B55" s="65" t="s">
        <v>8</v>
      </c>
      <c r="C55" s="52" t="s">
        <v>58</v>
      </c>
      <c r="D55" s="52" t="s">
        <v>59</v>
      </c>
      <c r="F55" s="53" t="s">
        <v>61</v>
      </c>
      <c r="G55" s="68"/>
      <c r="H55" s="67"/>
      <c r="L55" s="14"/>
    </row>
    <row r="56" spans="2:12" s="32" customFormat="1" ht="18" customHeight="1">
      <c r="B56" s="65" t="s">
        <v>8</v>
      </c>
      <c r="C56" s="52" t="s">
        <v>58</v>
      </c>
      <c r="D56" s="52" t="s">
        <v>59</v>
      </c>
      <c r="F56" s="53" t="s">
        <v>62</v>
      </c>
      <c r="G56" s="68"/>
      <c r="H56" s="67"/>
      <c r="L56" s="14"/>
    </row>
    <row r="57" spans="2:12" s="32" customFormat="1" ht="18" customHeight="1">
      <c r="B57" s="65" t="s">
        <v>8</v>
      </c>
      <c r="C57" s="52" t="s">
        <v>58</v>
      </c>
      <c r="D57" s="52" t="s">
        <v>59</v>
      </c>
      <c r="F57" s="53" t="s">
        <v>63</v>
      </c>
      <c r="G57" s="68"/>
      <c r="H57" s="67"/>
      <c r="L57" s="14"/>
    </row>
    <row r="58" spans="2:12" s="32" customFormat="1" ht="18" customHeight="1">
      <c r="B58" s="65" t="s">
        <v>8</v>
      </c>
      <c r="C58" s="52" t="s">
        <v>58</v>
      </c>
      <c r="D58" s="52" t="s">
        <v>64</v>
      </c>
      <c r="F58" s="53" t="s">
        <v>65</v>
      </c>
      <c r="G58" s="68"/>
      <c r="H58" s="67"/>
      <c r="L58" s="14"/>
    </row>
    <row r="59" spans="2:12" s="32" customFormat="1" ht="18" customHeight="1">
      <c r="B59" s="65" t="s">
        <v>8</v>
      </c>
      <c r="C59" s="52" t="s">
        <v>58</v>
      </c>
      <c r="D59" s="52" t="s">
        <v>64</v>
      </c>
      <c r="F59" s="53" t="s">
        <v>65</v>
      </c>
      <c r="G59" s="68"/>
      <c r="H59" s="67"/>
      <c r="L59" s="14"/>
    </row>
    <row r="60" spans="2:12" s="32" customFormat="1" ht="18" customHeight="1">
      <c r="B60" s="65" t="s">
        <v>8</v>
      </c>
      <c r="C60" s="52" t="s">
        <v>42</v>
      </c>
      <c r="D60" s="52" t="s">
        <v>43</v>
      </c>
      <c r="F60" s="53" t="s">
        <v>66</v>
      </c>
      <c r="G60" s="68"/>
      <c r="H60" s="67"/>
      <c r="L60" s="14"/>
    </row>
    <row r="61" spans="2:12" s="32" customFormat="1" ht="18" customHeight="1">
      <c r="B61" s="65" t="s">
        <v>8</v>
      </c>
      <c r="C61" s="52" t="s">
        <v>42</v>
      </c>
      <c r="D61" s="52" t="s">
        <v>45</v>
      </c>
      <c r="F61" s="53" t="s">
        <v>67</v>
      </c>
      <c r="G61" s="68"/>
      <c r="H61" s="67"/>
      <c r="L61" s="14"/>
    </row>
    <row r="62" spans="2:12" s="32" customFormat="1" ht="18" customHeight="1">
      <c r="B62" s="65" t="s">
        <v>8</v>
      </c>
      <c r="C62" s="52" t="s">
        <v>42</v>
      </c>
      <c r="D62" s="52" t="s">
        <v>45</v>
      </c>
      <c r="F62" s="53" t="s">
        <v>68</v>
      </c>
      <c r="G62" s="68"/>
      <c r="H62" s="67"/>
      <c r="L62" s="14"/>
    </row>
    <row r="63" spans="2:12" s="32" customFormat="1" ht="18" customHeight="1">
      <c r="B63" s="65" t="s">
        <v>8</v>
      </c>
      <c r="C63" s="52" t="s">
        <v>42</v>
      </c>
      <c r="D63" s="52" t="s">
        <v>45</v>
      </c>
      <c r="F63" s="53" t="s">
        <v>69</v>
      </c>
      <c r="G63" s="68"/>
      <c r="H63" s="67"/>
      <c r="L63" s="14"/>
    </row>
    <row r="64" spans="2:12" s="32" customFormat="1" ht="18" customHeight="1">
      <c r="B64" s="65" t="s">
        <v>8</v>
      </c>
      <c r="C64" s="52" t="s">
        <v>42</v>
      </c>
      <c r="D64" s="52" t="s">
        <v>45</v>
      </c>
      <c r="F64" s="53" t="s">
        <v>70</v>
      </c>
      <c r="G64" s="68"/>
      <c r="H64" s="67"/>
      <c r="L64" s="14"/>
    </row>
    <row r="65" spans="2:12" s="32" customFormat="1" ht="18" customHeight="1">
      <c r="B65" s="65" t="s">
        <v>8</v>
      </c>
      <c r="C65" s="52" t="s">
        <v>42</v>
      </c>
      <c r="D65" s="52" t="s">
        <v>45</v>
      </c>
      <c r="F65" s="53" t="s">
        <v>71</v>
      </c>
      <c r="G65" s="68"/>
      <c r="H65" s="67"/>
      <c r="L65" s="14"/>
    </row>
    <row r="66" spans="2:12" s="32" customFormat="1" ht="18" customHeight="1">
      <c r="B66" s="65" t="s">
        <v>8</v>
      </c>
      <c r="C66" s="52" t="s">
        <v>42</v>
      </c>
      <c r="D66" s="52" t="s">
        <v>45</v>
      </c>
      <c r="F66" s="53" t="s">
        <v>72</v>
      </c>
      <c r="G66" s="68"/>
      <c r="H66" s="67"/>
      <c r="L66" s="14"/>
    </row>
    <row r="67" spans="2:12" s="32" customFormat="1" ht="18" customHeight="1">
      <c r="B67" s="65" t="s">
        <v>8</v>
      </c>
      <c r="C67" s="52" t="s">
        <v>42</v>
      </c>
      <c r="D67" s="52" t="s">
        <v>45</v>
      </c>
      <c r="F67" s="53" t="s">
        <v>73</v>
      </c>
      <c r="G67" s="68"/>
      <c r="H67" s="67"/>
      <c r="L67" s="14"/>
    </row>
    <row r="68" spans="2:12" s="32" customFormat="1" ht="18" customHeight="1">
      <c r="B68" s="65" t="s">
        <v>8</v>
      </c>
      <c r="C68" s="52" t="s">
        <v>42</v>
      </c>
      <c r="D68" s="52" t="s">
        <v>45</v>
      </c>
      <c r="F68" s="53" t="s">
        <v>74</v>
      </c>
      <c r="G68" s="68"/>
      <c r="H68" s="67"/>
      <c r="L68" s="14"/>
    </row>
    <row r="69" spans="2:12" s="32" customFormat="1" ht="18" customHeight="1">
      <c r="B69" s="65" t="s">
        <v>8</v>
      </c>
      <c r="C69" s="52" t="s">
        <v>42</v>
      </c>
      <c r="D69" s="52" t="s">
        <v>45</v>
      </c>
      <c r="F69" s="53" t="s">
        <v>75</v>
      </c>
      <c r="G69" s="68"/>
      <c r="H69" s="67"/>
      <c r="L69" s="14"/>
    </row>
    <row r="70" spans="2:12" s="32" customFormat="1" ht="18" customHeight="1">
      <c r="B70" s="65" t="s">
        <v>8</v>
      </c>
      <c r="C70" s="52" t="s">
        <v>42</v>
      </c>
      <c r="D70" s="52" t="s">
        <v>45</v>
      </c>
      <c r="F70" s="53" t="s">
        <v>76</v>
      </c>
      <c r="G70" s="68"/>
      <c r="H70" s="67"/>
      <c r="L70" s="14"/>
    </row>
    <row r="71" spans="2:12" s="32" customFormat="1" ht="18" customHeight="1">
      <c r="B71" s="65" t="s">
        <v>8</v>
      </c>
      <c r="C71" s="52" t="s">
        <v>42</v>
      </c>
      <c r="D71" s="52" t="s">
        <v>77</v>
      </c>
      <c r="F71" s="53" t="s">
        <v>78</v>
      </c>
      <c r="G71" s="68"/>
      <c r="H71" s="67"/>
      <c r="L71" s="14"/>
    </row>
    <row r="72" spans="2:12" s="32" customFormat="1" ht="18" customHeight="1">
      <c r="B72" s="65" t="s">
        <v>8</v>
      </c>
      <c r="C72" s="52" t="s">
        <v>42</v>
      </c>
      <c r="D72" s="52" t="s">
        <v>47</v>
      </c>
      <c r="F72" s="53" t="s">
        <v>79</v>
      </c>
      <c r="G72" s="68"/>
      <c r="H72" s="67"/>
      <c r="L72" s="14"/>
    </row>
    <row r="73" spans="2:12" s="32" customFormat="1" ht="18" customHeight="1">
      <c r="B73" s="65" t="s">
        <v>8</v>
      </c>
      <c r="C73" s="52" t="s">
        <v>42</v>
      </c>
      <c r="D73" s="52" t="s">
        <v>47</v>
      </c>
      <c r="F73" s="53" t="s">
        <v>80</v>
      </c>
      <c r="G73" s="68"/>
      <c r="H73" s="67"/>
      <c r="L73" s="14"/>
    </row>
    <row r="74" spans="2:12" s="32" customFormat="1" ht="18" customHeight="1">
      <c r="B74" s="65" t="s">
        <v>8</v>
      </c>
      <c r="C74" s="52" t="s">
        <v>42</v>
      </c>
      <c r="D74" s="52" t="s">
        <v>47</v>
      </c>
      <c r="F74" s="53" t="s">
        <v>81</v>
      </c>
      <c r="G74" s="68"/>
      <c r="H74" s="67"/>
      <c r="L74" s="14"/>
    </row>
    <row r="75" spans="2:12" s="32" customFormat="1" ht="18" customHeight="1">
      <c r="B75" s="65" t="s">
        <v>8</v>
      </c>
      <c r="C75" s="52" t="s">
        <v>42</v>
      </c>
      <c r="D75" s="52" t="s">
        <v>47</v>
      </c>
      <c r="F75" s="53" t="s">
        <v>82</v>
      </c>
      <c r="G75" s="68"/>
      <c r="H75" s="67"/>
      <c r="L75" s="14"/>
    </row>
    <row r="76" spans="2:12" s="32" customFormat="1" ht="18" customHeight="1">
      <c r="B76" s="65" t="s">
        <v>8</v>
      </c>
      <c r="C76" s="52" t="s">
        <v>42</v>
      </c>
      <c r="D76" s="52" t="s">
        <v>47</v>
      </c>
      <c r="F76" s="53" t="s">
        <v>83</v>
      </c>
      <c r="G76" s="68"/>
      <c r="H76" s="67"/>
      <c r="L76" s="14"/>
    </row>
    <row r="77" spans="2:12" s="32" customFormat="1" ht="18" customHeight="1">
      <c r="B77" s="65" t="s">
        <v>8</v>
      </c>
      <c r="C77" s="52" t="s">
        <v>42</v>
      </c>
      <c r="D77" s="52" t="s">
        <v>47</v>
      </c>
      <c r="F77" s="53" t="s">
        <v>84</v>
      </c>
      <c r="G77" s="68"/>
      <c r="H77" s="67"/>
      <c r="L77" s="14"/>
    </row>
    <row r="78" spans="2:12" s="32" customFormat="1" ht="18" customHeight="1">
      <c r="B78" s="65" t="s">
        <v>8</v>
      </c>
      <c r="C78" s="52" t="s">
        <v>42</v>
      </c>
      <c r="D78" s="52" t="s">
        <v>47</v>
      </c>
      <c r="F78" s="53" t="s">
        <v>85</v>
      </c>
      <c r="G78" s="68"/>
      <c r="H78" s="67"/>
      <c r="L78" s="14"/>
    </row>
    <row r="79" spans="2:12" s="32" customFormat="1" ht="18" customHeight="1">
      <c r="B79" s="65" t="s">
        <v>8</v>
      </c>
      <c r="C79" s="52" t="s">
        <v>42</v>
      </c>
      <c r="D79" s="52" t="s">
        <v>47</v>
      </c>
      <c r="F79" s="53" t="s">
        <v>86</v>
      </c>
      <c r="G79" s="68"/>
      <c r="H79" s="67"/>
      <c r="L79" s="14"/>
    </row>
    <row r="80" spans="2:12" s="32" customFormat="1" ht="18" customHeight="1">
      <c r="B80" s="65" t="s">
        <v>8</v>
      </c>
      <c r="C80" s="52" t="s">
        <v>42</v>
      </c>
      <c r="D80" s="52" t="s">
        <v>47</v>
      </c>
      <c r="F80" s="53" t="s">
        <v>87</v>
      </c>
      <c r="G80" s="68"/>
      <c r="H80" s="67"/>
      <c r="L80" s="14"/>
    </row>
    <row r="81" spans="2:12" s="32" customFormat="1" ht="18" customHeight="1">
      <c r="B81" s="65" t="s">
        <v>8</v>
      </c>
      <c r="C81" s="52" t="s">
        <v>42</v>
      </c>
      <c r="D81" s="52" t="s">
        <v>47</v>
      </c>
      <c r="F81" s="53" t="s">
        <v>88</v>
      </c>
      <c r="G81" s="68"/>
      <c r="H81" s="67"/>
      <c r="L81" s="14"/>
    </row>
    <row r="82" spans="2:12" s="32" customFormat="1" ht="18" customHeight="1">
      <c r="B82" s="65" t="s">
        <v>8</v>
      </c>
      <c r="C82" s="52" t="s">
        <v>42</v>
      </c>
      <c r="D82" s="52" t="s">
        <v>47</v>
      </c>
      <c r="F82" s="53" t="s">
        <v>89</v>
      </c>
      <c r="G82" s="68"/>
      <c r="H82" s="67"/>
      <c r="L82" s="14"/>
    </row>
    <row r="83" spans="2:12" s="32" customFormat="1" ht="18" customHeight="1">
      <c r="B83" s="65" t="s">
        <v>8</v>
      </c>
      <c r="C83" s="52" t="s">
        <v>42</v>
      </c>
      <c r="D83" s="52" t="s">
        <v>47</v>
      </c>
      <c r="F83" s="53" t="s">
        <v>90</v>
      </c>
      <c r="G83" s="68"/>
      <c r="H83" s="67"/>
      <c r="L83" s="14"/>
    </row>
    <row r="84" spans="2:12" s="32" customFormat="1" ht="18" customHeight="1">
      <c r="B84" s="65" t="s">
        <v>8</v>
      </c>
      <c r="C84" s="52" t="s">
        <v>42</v>
      </c>
      <c r="D84" s="52" t="s">
        <v>47</v>
      </c>
      <c r="F84" s="53" t="s">
        <v>91</v>
      </c>
      <c r="G84" s="68"/>
      <c r="H84" s="67"/>
      <c r="L84" s="14"/>
    </row>
    <row r="85" spans="2:12" s="32" customFormat="1" ht="18" customHeight="1">
      <c r="B85" s="65" t="s">
        <v>8</v>
      </c>
      <c r="C85" s="52" t="s">
        <v>42</v>
      </c>
      <c r="D85" s="52" t="s">
        <v>47</v>
      </c>
      <c r="F85" s="53" t="s">
        <v>92</v>
      </c>
      <c r="G85" s="68"/>
      <c r="H85" s="67"/>
      <c r="L85" s="14"/>
    </row>
    <row r="86" spans="2:12" s="32" customFormat="1" ht="18" customHeight="1">
      <c r="B86" s="65" t="s">
        <v>8</v>
      </c>
      <c r="C86" s="52" t="s">
        <v>42</v>
      </c>
      <c r="D86" s="52" t="s">
        <v>47</v>
      </c>
      <c r="F86" s="53" t="s">
        <v>93</v>
      </c>
      <c r="G86" s="68"/>
      <c r="H86" s="67"/>
      <c r="L86" s="14"/>
    </row>
    <row r="87" spans="2:12" s="32" customFormat="1" ht="18" customHeight="1">
      <c r="B87" s="65" t="s">
        <v>8</v>
      </c>
      <c r="C87" s="52" t="s">
        <v>42</v>
      </c>
      <c r="D87" s="52" t="s">
        <v>47</v>
      </c>
      <c r="F87" s="53" t="s">
        <v>89</v>
      </c>
      <c r="G87" s="68"/>
      <c r="H87" s="67"/>
      <c r="L87" s="14"/>
    </row>
    <row r="88" spans="2:12" s="32" customFormat="1" ht="18" customHeight="1">
      <c r="B88" s="65" t="s">
        <v>8</v>
      </c>
      <c r="C88" s="52" t="s">
        <v>42</v>
      </c>
      <c r="D88" s="52" t="s">
        <v>47</v>
      </c>
      <c r="F88" s="53" t="s">
        <v>94</v>
      </c>
      <c r="G88" s="68"/>
      <c r="H88" s="67"/>
      <c r="L88" s="14"/>
    </row>
    <row r="89" spans="2:12" s="32" customFormat="1" ht="18" customHeight="1">
      <c r="B89" s="65" t="s">
        <v>8</v>
      </c>
      <c r="C89" s="52" t="s">
        <v>42</v>
      </c>
      <c r="D89" s="52" t="s">
        <v>47</v>
      </c>
      <c r="F89" s="53" t="s">
        <v>95</v>
      </c>
      <c r="G89" s="68"/>
      <c r="H89" s="67"/>
      <c r="L89" s="14"/>
    </row>
    <row r="90" spans="2:12" s="32" customFormat="1" ht="18" customHeight="1">
      <c r="B90" s="65" t="s">
        <v>8</v>
      </c>
      <c r="C90" s="52" t="s">
        <v>42</v>
      </c>
      <c r="D90" s="52" t="s">
        <v>47</v>
      </c>
      <c r="F90" s="53" t="s">
        <v>96</v>
      </c>
      <c r="G90" s="68"/>
      <c r="H90" s="67"/>
      <c r="L90" s="14"/>
    </row>
    <row r="91" spans="2:12" s="32" customFormat="1" ht="18" customHeight="1">
      <c r="B91" s="65" t="s">
        <v>8</v>
      </c>
      <c r="C91" s="52" t="s">
        <v>42</v>
      </c>
      <c r="D91" s="52" t="s">
        <v>47</v>
      </c>
      <c r="F91" s="53" t="s">
        <v>97</v>
      </c>
      <c r="G91" s="68"/>
      <c r="H91" s="67"/>
      <c r="L91" s="14"/>
    </row>
    <row r="92" spans="2:12" s="32" customFormat="1" ht="18" customHeight="1">
      <c r="B92" s="65" t="s">
        <v>8</v>
      </c>
      <c r="C92" s="52" t="s">
        <v>42</v>
      </c>
      <c r="D92" s="52" t="s">
        <v>47</v>
      </c>
      <c r="F92" s="54" t="s">
        <v>98</v>
      </c>
      <c r="G92" s="68"/>
      <c r="H92" s="67"/>
      <c r="L92" s="14"/>
    </row>
    <row r="93" spans="2:12" s="32" customFormat="1" ht="18" customHeight="1">
      <c r="B93" s="65" t="s">
        <v>8</v>
      </c>
      <c r="C93" s="52" t="s">
        <v>42</v>
      </c>
      <c r="D93" s="52" t="s">
        <v>47</v>
      </c>
      <c r="F93" s="53" t="s">
        <v>99</v>
      </c>
      <c r="G93" s="68"/>
      <c r="H93" s="67"/>
      <c r="L93" s="14"/>
    </row>
    <row r="94" spans="2:12" s="32" customFormat="1" ht="18" customHeight="1">
      <c r="B94" s="65" t="s">
        <v>8</v>
      </c>
      <c r="C94" s="52" t="s">
        <v>42</v>
      </c>
      <c r="D94" s="52" t="s">
        <v>47</v>
      </c>
      <c r="F94" s="53" t="s">
        <v>100</v>
      </c>
      <c r="G94" s="68"/>
      <c r="H94" s="67"/>
      <c r="L94" s="14"/>
    </row>
    <row r="95" spans="2:12" s="32" customFormat="1" ht="18" customHeight="1">
      <c r="B95" s="65" t="s">
        <v>8</v>
      </c>
      <c r="C95" s="52" t="s">
        <v>42</v>
      </c>
      <c r="D95" s="52" t="s">
        <v>47</v>
      </c>
      <c r="F95" s="53" t="s">
        <v>101</v>
      </c>
      <c r="G95" s="68"/>
      <c r="H95" s="67"/>
      <c r="L95" s="14"/>
    </row>
    <row r="96" spans="2:12" s="32" customFormat="1" ht="18" customHeight="1">
      <c r="B96" s="65" t="s">
        <v>8</v>
      </c>
      <c r="C96" s="52" t="s">
        <v>42</v>
      </c>
      <c r="D96" s="52" t="s">
        <v>47</v>
      </c>
      <c r="F96" s="53" t="s">
        <v>102</v>
      </c>
      <c r="G96" s="68"/>
      <c r="H96" s="67"/>
      <c r="L96" s="14"/>
    </row>
    <row r="97" spans="2:12" s="32" customFormat="1" ht="18" customHeight="1">
      <c r="B97" s="65" t="s">
        <v>8</v>
      </c>
      <c r="C97" s="52" t="s">
        <v>42</v>
      </c>
      <c r="D97" s="52" t="s">
        <v>47</v>
      </c>
      <c r="F97" s="53" t="s">
        <v>103</v>
      </c>
      <c r="G97" s="68"/>
      <c r="H97" s="67"/>
      <c r="L97" s="14"/>
    </row>
    <row r="98" spans="2:12" s="32" customFormat="1" ht="18" customHeight="1">
      <c r="B98" s="65" t="s">
        <v>8</v>
      </c>
      <c r="C98" s="52" t="s">
        <v>42</v>
      </c>
      <c r="D98" s="52" t="s">
        <v>47</v>
      </c>
      <c r="F98" s="53" t="s">
        <v>89</v>
      </c>
      <c r="G98" s="68"/>
      <c r="H98" s="67"/>
      <c r="L98" s="14"/>
    </row>
    <row r="99" spans="2:12" s="32" customFormat="1" ht="18" customHeight="1">
      <c r="B99" s="65" t="s">
        <v>8</v>
      </c>
      <c r="C99" s="52" t="s">
        <v>42</v>
      </c>
      <c r="D99" s="52" t="s">
        <v>47</v>
      </c>
      <c r="F99" s="53" t="s">
        <v>104</v>
      </c>
      <c r="G99" s="68"/>
      <c r="H99" s="67"/>
      <c r="L99" s="14"/>
    </row>
    <row r="100" spans="2:12" s="32" customFormat="1" ht="18" customHeight="1">
      <c r="B100" s="65" t="s">
        <v>8</v>
      </c>
      <c r="C100" s="52" t="s">
        <v>42</v>
      </c>
      <c r="D100" s="52" t="s">
        <v>47</v>
      </c>
      <c r="F100" s="53" t="s">
        <v>105</v>
      </c>
      <c r="G100" s="68"/>
      <c r="H100" s="67"/>
      <c r="L100" s="14"/>
    </row>
    <row r="101" spans="2:12" s="32" customFormat="1" ht="18" customHeight="1">
      <c r="B101" s="65" t="s">
        <v>8</v>
      </c>
      <c r="C101" s="52" t="s">
        <v>42</v>
      </c>
      <c r="D101" s="52" t="s">
        <v>47</v>
      </c>
      <c r="F101" s="53" t="s">
        <v>106</v>
      </c>
      <c r="G101" s="68"/>
      <c r="H101" s="67"/>
      <c r="L101" s="14"/>
    </row>
    <row r="102" spans="2:12" s="32" customFormat="1" ht="18" customHeight="1">
      <c r="B102" s="65" t="s">
        <v>8</v>
      </c>
      <c r="C102" s="52" t="s">
        <v>42</v>
      </c>
      <c r="D102" s="52" t="s">
        <v>47</v>
      </c>
      <c r="F102" s="53" t="s">
        <v>107</v>
      </c>
      <c r="G102" s="68"/>
      <c r="H102" s="67"/>
      <c r="L102" s="14"/>
    </row>
    <row r="103" spans="2:12" s="32" customFormat="1" ht="18" customHeight="1">
      <c r="B103" s="65" t="s">
        <v>8</v>
      </c>
      <c r="C103" s="52" t="s">
        <v>42</v>
      </c>
      <c r="D103" s="52" t="s">
        <v>47</v>
      </c>
      <c r="F103" s="53" t="s">
        <v>108</v>
      </c>
      <c r="G103" s="68"/>
      <c r="H103" s="67"/>
      <c r="L103" s="14"/>
    </row>
    <row r="104" spans="2:12" s="32" customFormat="1" ht="18" customHeight="1">
      <c r="B104" s="65" t="s">
        <v>8</v>
      </c>
      <c r="C104" s="52" t="s">
        <v>42</v>
      </c>
      <c r="D104" s="52" t="s">
        <v>47</v>
      </c>
      <c r="F104" s="53" t="s">
        <v>109</v>
      </c>
      <c r="G104" s="68"/>
      <c r="H104" s="67"/>
      <c r="L104" s="14"/>
    </row>
    <row r="105" spans="2:12" s="32" customFormat="1" ht="18" customHeight="1">
      <c r="B105" s="65" t="s">
        <v>8</v>
      </c>
      <c r="C105" s="52" t="s">
        <v>42</v>
      </c>
      <c r="D105" s="52" t="s">
        <v>47</v>
      </c>
      <c r="F105" s="53" t="s">
        <v>110</v>
      </c>
      <c r="G105" s="68"/>
      <c r="H105" s="67"/>
      <c r="L105" s="14"/>
    </row>
    <row r="106" spans="2:12" s="32" customFormat="1" ht="18" customHeight="1">
      <c r="B106" s="65" t="s">
        <v>8</v>
      </c>
      <c r="C106" s="52" t="s">
        <v>42</v>
      </c>
      <c r="D106" s="52" t="s">
        <v>47</v>
      </c>
      <c r="F106" s="53" t="s">
        <v>111</v>
      </c>
      <c r="G106" s="68"/>
      <c r="H106" s="67"/>
      <c r="L106" s="14"/>
    </row>
    <row r="107" spans="2:12" s="32" customFormat="1" ht="18" customHeight="1">
      <c r="B107" s="65" t="s">
        <v>8</v>
      </c>
      <c r="C107" s="52"/>
      <c r="D107" s="52"/>
      <c r="F107" s="53"/>
      <c r="G107" s="68"/>
      <c r="H107" s="67"/>
      <c r="L107" s="14"/>
    </row>
    <row r="108" spans="2:12" s="32" customFormat="1">
      <c r="B108" s="57" t="s">
        <v>6</v>
      </c>
      <c r="C108" s="58"/>
      <c r="D108" s="58"/>
      <c r="E108" s="58"/>
      <c r="F108" s="58"/>
      <c r="G108" s="36"/>
      <c r="H108" s="40">
        <f t="shared" ref="H108" si="1">SUM(H48:H107)</f>
        <v>0</v>
      </c>
      <c r="L108" s="14"/>
    </row>
    <row r="109" spans="2:12" s="29" customFormat="1">
      <c r="B109" s="69"/>
      <c r="C109" s="70"/>
      <c r="D109" s="70"/>
      <c r="E109" s="70"/>
      <c r="F109" s="70"/>
      <c r="G109" s="70"/>
      <c r="H109" s="71"/>
      <c r="L109" s="14"/>
    </row>
    <row r="110" spans="2:12" s="32" customFormat="1">
      <c r="B110" s="24" t="s">
        <v>10</v>
      </c>
      <c r="C110" s="24" t="s">
        <v>11</v>
      </c>
      <c r="D110" s="24" t="s">
        <v>12</v>
      </c>
      <c r="E110" s="24" t="s">
        <v>13</v>
      </c>
      <c r="F110" s="26" t="s">
        <v>14</v>
      </c>
      <c r="G110" s="50"/>
      <c r="H110" s="27" t="s">
        <v>15</v>
      </c>
      <c r="L110" s="14"/>
    </row>
    <row r="111" spans="2:12" s="32" customFormat="1">
      <c r="B111" s="72" t="s">
        <v>9</v>
      </c>
      <c r="C111" s="52" t="s">
        <v>16</v>
      </c>
      <c r="D111" s="52" t="s">
        <v>20</v>
      </c>
      <c r="F111" s="32" t="s">
        <v>112</v>
      </c>
      <c r="G111" s="52"/>
      <c r="H111" s="73"/>
      <c r="L111" s="14"/>
    </row>
    <row r="112" spans="2:12" s="32" customFormat="1">
      <c r="B112" s="72" t="s">
        <v>9</v>
      </c>
      <c r="C112" s="52" t="s">
        <v>16</v>
      </c>
      <c r="D112" s="52" t="s">
        <v>20</v>
      </c>
      <c r="F112" s="32" t="s">
        <v>113</v>
      </c>
      <c r="G112" s="52"/>
      <c r="H112" s="74"/>
      <c r="L112" s="14"/>
    </row>
    <row r="113" spans="2:12" s="32" customFormat="1">
      <c r="B113" s="72" t="s">
        <v>9</v>
      </c>
      <c r="C113" s="52" t="s">
        <v>16</v>
      </c>
      <c r="D113" s="52" t="s">
        <v>40</v>
      </c>
      <c r="F113" s="32" t="s">
        <v>114</v>
      </c>
      <c r="G113" s="52"/>
      <c r="H113" s="74"/>
      <c r="L113" s="14"/>
    </row>
    <row r="114" spans="2:12" s="32" customFormat="1">
      <c r="B114" s="72" t="s">
        <v>9</v>
      </c>
      <c r="C114" s="52" t="s">
        <v>16</v>
      </c>
      <c r="D114" s="52" t="s">
        <v>115</v>
      </c>
      <c r="F114" s="32" t="s">
        <v>116</v>
      </c>
      <c r="G114" s="52"/>
      <c r="H114" s="74"/>
      <c r="L114" s="14"/>
    </row>
    <row r="115" spans="2:12" s="32" customFormat="1">
      <c r="B115" s="72" t="s">
        <v>9</v>
      </c>
      <c r="C115" s="52" t="s">
        <v>117</v>
      </c>
      <c r="D115" s="52" t="s">
        <v>118</v>
      </c>
      <c r="F115" s="32" t="s">
        <v>119</v>
      </c>
      <c r="G115" s="52"/>
      <c r="H115" s="74"/>
      <c r="L115" s="14"/>
    </row>
    <row r="116" spans="2:12" s="32" customFormat="1">
      <c r="B116" s="72" t="s">
        <v>9</v>
      </c>
      <c r="C116" s="52" t="s">
        <v>58</v>
      </c>
      <c r="D116" s="52" t="s">
        <v>120</v>
      </c>
      <c r="F116" s="32" t="s">
        <v>121</v>
      </c>
      <c r="G116" s="52"/>
      <c r="H116" s="74"/>
      <c r="L116" s="14"/>
    </row>
    <row r="117" spans="2:12" s="32" customFormat="1">
      <c r="B117" s="72" t="s">
        <v>9</v>
      </c>
      <c r="C117" s="52" t="s">
        <v>58</v>
      </c>
      <c r="D117" s="52" t="s">
        <v>120</v>
      </c>
      <c r="F117" s="32" t="s">
        <v>122</v>
      </c>
      <c r="G117" s="52"/>
      <c r="H117" s="74"/>
      <c r="L117" s="14"/>
    </row>
    <row r="118" spans="2:12" s="32" customFormat="1">
      <c r="B118" s="72" t="s">
        <v>9</v>
      </c>
      <c r="C118" s="52" t="s">
        <v>42</v>
      </c>
      <c r="D118" s="52" t="s">
        <v>43</v>
      </c>
      <c r="F118" s="32" t="s">
        <v>123</v>
      </c>
      <c r="G118" s="52"/>
      <c r="H118" s="74"/>
      <c r="L118" s="14"/>
    </row>
    <row r="119" spans="2:12" s="32" customFormat="1">
      <c r="B119" s="72" t="s">
        <v>9</v>
      </c>
      <c r="C119" s="52" t="s">
        <v>42</v>
      </c>
      <c r="D119" s="52" t="s">
        <v>124</v>
      </c>
      <c r="F119" s="32" t="s">
        <v>125</v>
      </c>
      <c r="G119" s="52"/>
      <c r="H119" s="74"/>
      <c r="L119" s="14"/>
    </row>
    <row r="120" spans="2:12" s="32" customFormat="1">
      <c r="B120" s="72" t="s">
        <v>9</v>
      </c>
      <c r="C120" s="52" t="s">
        <v>42</v>
      </c>
      <c r="D120" s="52" t="s">
        <v>124</v>
      </c>
      <c r="F120" s="32" t="s">
        <v>126</v>
      </c>
      <c r="G120" s="52"/>
      <c r="H120" s="74"/>
      <c r="L120" s="14"/>
    </row>
    <row r="121" spans="2:12" s="32" customFormat="1">
      <c r="B121" s="72" t="s">
        <v>9</v>
      </c>
      <c r="C121" s="52" t="s">
        <v>42</v>
      </c>
      <c r="D121" s="52" t="s">
        <v>124</v>
      </c>
      <c r="F121" s="32" t="s">
        <v>127</v>
      </c>
      <c r="G121" s="52"/>
      <c r="H121" s="74"/>
      <c r="L121" s="14"/>
    </row>
    <row r="122" spans="2:12" s="32" customFormat="1">
      <c r="B122" s="72" t="s">
        <v>9</v>
      </c>
      <c r="C122" s="52" t="s">
        <v>42</v>
      </c>
      <c r="D122" s="52" t="s">
        <v>124</v>
      </c>
      <c r="F122" s="32" t="s">
        <v>128</v>
      </c>
      <c r="G122" s="52"/>
      <c r="H122" s="74"/>
      <c r="L122" s="14"/>
    </row>
    <row r="123" spans="2:12" s="32" customFormat="1">
      <c r="B123" s="72" t="s">
        <v>9</v>
      </c>
      <c r="C123" s="52" t="s">
        <v>42</v>
      </c>
      <c r="D123" s="52" t="s">
        <v>124</v>
      </c>
      <c r="F123" s="32" t="s">
        <v>129</v>
      </c>
      <c r="G123" s="52"/>
      <c r="H123" s="74"/>
      <c r="L123" s="14"/>
    </row>
    <row r="124" spans="2:12" s="32" customFormat="1">
      <c r="B124" s="72" t="s">
        <v>9</v>
      </c>
      <c r="C124" s="52" t="s">
        <v>42</v>
      </c>
      <c r="D124" s="52" t="s">
        <v>124</v>
      </c>
      <c r="F124" s="32" t="s">
        <v>130</v>
      </c>
      <c r="G124" s="52"/>
      <c r="H124" s="74"/>
      <c r="L124" s="14"/>
    </row>
    <row r="125" spans="2:12" s="32" customFormat="1">
      <c r="B125" s="72" t="s">
        <v>9</v>
      </c>
      <c r="C125" s="52" t="s">
        <v>42</v>
      </c>
      <c r="D125" s="52" t="s">
        <v>124</v>
      </c>
      <c r="F125" s="32" t="s">
        <v>131</v>
      </c>
      <c r="G125" s="52"/>
      <c r="H125" s="74"/>
      <c r="L125" s="14"/>
    </row>
    <row r="126" spans="2:12" s="32" customFormat="1">
      <c r="B126" s="72" t="s">
        <v>9</v>
      </c>
      <c r="C126" s="52" t="s">
        <v>42</v>
      </c>
      <c r="D126" s="52" t="s">
        <v>132</v>
      </c>
      <c r="F126" s="32" t="s">
        <v>133</v>
      </c>
      <c r="G126" s="52"/>
      <c r="H126" s="74"/>
      <c r="L126" s="14"/>
    </row>
    <row r="127" spans="2:12" s="32" customFormat="1">
      <c r="B127" s="72" t="s">
        <v>9</v>
      </c>
      <c r="C127" s="52" t="s">
        <v>42</v>
      </c>
      <c r="D127" s="52" t="s">
        <v>45</v>
      </c>
      <c r="F127" s="53" t="s">
        <v>134</v>
      </c>
      <c r="G127" s="52"/>
      <c r="H127" s="74"/>
      <c r="L127" s="14"/>
    </row>
    <row r="128" spans="2:12" s="32" customFormat="1">
      <c r="B128" s="72" t="s">
        <v>9</v>
      </c>
      <c r="C128" s="52" t="s">
        <v>42</v>
      </c>
      <c r="D128" s="52" t="s">
        <v>45</v>
      </c>
      <c r="F128" s="32" t="s">
        <v>135</v>
      </c>
      <c r="G128" s="52"/>
      <c r="H128" s="74"/>
      <c r="L128" s="14"/>
    </row>
    <row r="129" spans="2:12" s="32" customFormat="1">
      <c r="B129" s="72" t="s">
        <v>9</v>
      </c>
      <c r="C129" s="52" t="s">
        <v>42</v>
      </c>
      <c r="D129" s="52" t="s">
        <v>45</v>
      </c>
      <c r="F129" s="32" t="s">
        <v>136</v>
      </c>
      <c r="G129" s="52"/>
      <c r="H129" s="75"/>
      <c r="L129" s="14"/>
    </row>
    <row r="130" spans="2:12" s="32" customFormat="1">
      <c r="B130" s="72" t="s">
        <v>9</v>
      </c>
      <c r="C130" s="52" t="s">
        <v>42</v>
      </c>
      <c r="D130" s="52" t="s">
        <v>137</v>
      </c>
      <c r="F130" s="53" t="s">
        <v>138</v>
      </c>
      <c r="G130" s="52"/>
      <c r="H130" s="74"/>
      <c r="L130" s="14"/>
    </row>
    <row r="131" spans="2:12" s="32" customFormat="1">
      <c r="B131" s="72" t="s">
        <v>9</v>
      </c>
      <c r="C131" s="52" t="s">
        <v>42</v>
      </c>
      <c r="D131" s="52" t="s">
        <v>47</v>
      </c>
      <c r="F131" s="32" t="s">
        <v>139</v>
      </c>
      <c r="G131" s="52"/>
      <c r="H131" s="74"/>
      <c r="L131" s="14"/>
    </row>
    <row r="132" spans="2:12" s="32" customFormat="1">
      <c r="B132" s="72" t="s">
        <v>9</v>
      </c>
      <c r="C132" s="52" t="s">
        <v>42</v>
      </c>
      <c r="D132" s="52" t="s">
        <v>47</v>
      </c>
      <c r="F132" s="32" t="s">
        <v>140</v>
      </c>
      <c r="G132" s="52"/>
      <c r="H132" s="74"/>
      <c r="L132" s="14"/>
    </row>
    <row r="133" spans="2:12" s="32" customFormat="1">
      <c r="B133" s="72" t="s">
        <v>9</v>
      </c>
      <c r="C133" s="52" t="s">
        <v>42</v>
      </c>
      <c r="D133" s="52" t="s">
        <v>47</v>
      </c>
      <c r="F133" s="32" t="s">
        <v>141</v>
      </c>
      <c r="G133" s="76"/>
      <c r="H133" s="74"/>
      <c r="L133" s="14"/>
    </row>
    <row r="134" spans="2:12" s="32" customFormat="1">
      <c r="B134" s="72" t="s">
        <v>9</v>
      </c>
      <c r="C134" s="52" t="s">
        <v>42</v>
      </c>
      <c r="D134" s="52" t="s">
        <v>47</v>
      </c>
      <c r="F134" s="32" t="s">
        <v>142</v>
      </c>
      <c r="G134" s="52"/>
      <c r="H134" s="74"/>
      <c r="L134" s="14"/>
    </row>
    <row r="135" spans="2:12" s="32" customFormat="1">
      <c r="B135" s="72" t="s">
        <v>9</v>
      </c>
      <c r="C135" s="52" t="s">
        <v>42</v>
      </c>
      <c r="D135" s="52" t="s">
        <v>47</v>
      </c>
      <c r="F135" s="32" t="s">
        <v>143</v>
      </c>
      <c r="G135" s="52"/>
      <c r="H135" s="74"/>
      <c r="L135" s="14"/>
    </row>
    <row r="136" spans="2:12" s="32" customFormat="1">
      <c r="B136" s="72" t="s">
        <v>9</v>
      </c>
      <c r="C136" s="52" t="s">
        <v>42</v>
      </c>
      <c r="D136" s="52" t="s">
        <v>47</v>
      </c>
      <c r="F136" s="32" t="s">
        <v>144</v>
      </c>
      <c r="G136" s="52"/>
      <c r="H136" s="74"/>
      <c r="L136" s="14"/>
    </row>
    <row r="137" spans="2:12" s="32" customFormat="1">
      <c r="B137" s="72" t="s">
        <v>9</v>
      </c>
      <c r="C137" s="52" t="s">
        <v>42</v>
      </c>
      <c r="D137" s="52" t="s">
        <v>47</v>
      </c>
      <c r="F137" s="32" t="s">
        <v>145</v>
      </c>
      <c r="G137" s="52"/>
      <c r="H137" s="74"/>
      <c r="L137" s="14"/>
    </row>
    <row r="138" spans="2:12" s="32" customFormat="1">
      <c r="B138" s="72" t="s">
        <v>9</v>
      </c>
      <c r="C138" s="52" t="s">
        <v>42</v>
      </c>
      <c r="D138" s="52" t="s">
        <v>47</v>
      </c>
      <c r="F138" s="32" t="s">
        <v>146</v>
      </c>
      <c r="G138" s="52"/>
      <c r="H138" s="74"/>
      <c r="L138" s="14"/>
    </row>
    <row r="139" spans="2:12" s="32" customFormat="1">
      <c r="B139" s="72" t="s">
        <v>9</v>
      </c>
      <c r="C139" s="52" t="s">
        <v>42</v>
      </c>
      <c r="D139" s="52" t="s">
        <v>47</v>
      </c>
      <c r="F139" s="32" t="s">
        <v>147</v>
      </c>
      <c r="G139" s="52"/>
      <c r="H139" s="74"/>
      <c r="L139" s="14"/>
    </row>
    <row r="140" spans="2:12" s="32" customFormat="1">
      <c r="B140" s="72" t="s">
        <v>9</v>
      </c>
      <c r="C140" s="52" t="s">
        <v>42</v>
      </c>
      <c r="D140" s="52" t="s">
        <v>47</v>
      </c>
      <c r="F140" s="32" t="s">
        <v>148</v>
      </c>
      <c r="G140" s="52"/>
      <c r="H140" s="74"/>
      <c r="L140" s="14"/>
    </row>
    <row r="141" spans="2:12" s="32" customFormat="1">
      <c r="B141" s="72" t="s">
        <v>9</v>
      </c>
      <c r="C141" s="52" t="s">
        <v>42</v>
      </c>
      <c r="D141" s="52" t="s">
        <v>47</v>
      </c>
      <c r="F141" s="32" t="s">
        <v>149</v>
      </c>
      <c r="G141" s="52"/>
      <c r="H141" s="74"/>
      <c r="L141" s="14"/>
    </row>
    <row r="142" spans="2:12" s="32" customFormat="1">
      <c r="B142" s="72" t="s">
        <v>9</v>
      </c>
      <c r="C142" s="52" t="s">
        <v>42</v>
      </c>
      <c r="D142" s="52" t="s">
        <v>47</v>
      </c>
      <c r="F142" s="32" t="s">
        <v>150</v>
      </c>
      <c r="G142" s="52"/>
      <c r="H142" s="74"/>
      <c r="L142" s="14"/>
    </row>
    <row r="143" spans="2:12" s="32" customFormat="1">
      <c r="B143" s="72" t="s">
        <v>9</v>
      </c>
      <c r="C143" s="52" t="s">
        <v>42</v>
      </c>
      <c r="D143" s="52" t="s">
        <v>47</v>
      </c>
      <c r="F143" s="32" t="s">
        <v>151</v>
      </c>
      <c r="G143" s="52"/>
      <c r="H143" s="74"/>
      <c r="L143" s="14"/>
    </row>
    <row r="144" spans="2:12" s="32" customFormat="1">
      <c r="B144" s="72" t="s">
        <v>9</v>
      </c>
      <c r="C144" s="52" t="s">
        <v>42</v>
      </c>
      <c r="D144" s="52" t="s">
        <v>47</v>
      </c>
      <c r="F144" s="32" t="s">
        <v>152</v>
      </c>
      <c r="G144" s="52"/>
      <c r="H144" s="74"/>
      <c r="L144" s="14"/>
    </row>
    <row r="145" spans="1:12" s="32" customFormat="1">
      <c r="B145" s="72" t="s">
        <v>9</v>
      </c>
      <c r="C145" s="52" t="s">
        <v>42</v>
      </c>
      <c r="D145" s="52" t="s">
        <v>47</v>
      </c>
      <c r="F145" s="32" t="s">
        <v>153</v>
      </c>
      <c r="G145" s="52"/>
      <c r="H145" s="74"/>
      <c r="L145" s="14"/>
    </row>
    <row r="146" spans="1:12" s="32" customFormat="1">
      <c r="B146" s="72" t="s">
        <v>9</v>
      </c>
      <c r="C146" s="52" t="s">
        <v>42</v>
      </c>
      <c r="D146" s="52" t="s">
        <v>47</v>
      </c>
      <c r="F146" s="32" t="s">
        <v>153</v>
      </c>
      <c r="G146" s="52"/>
      <c r="H146" s="74"/>
      <c r="L146" s="14"/>
    </row>
    <row r="147" spans="1:12" s="32" customFormat="1">
      <c r="B147" s="72" t="s">
        <v>9</v>
      </c>
      <c r="C147" s="52" t="s">
        <v>42</v>
      </c>
      <c r="D147" s="52" t="s">
        <v>47</v>
      </c>
      <c r="F147" s="32" t="s">
        <v>154</v>
      </c>
      <c r="G147" s="52"/>
      <c r="H147" s="77"/>
      <c r="L147" s="14"/>
    </row>
    <row r="148" spans="1:12" s="32" customFormat="1">
      <c r="B148" s="72" t="s">
        <v>9</v>
      </c>
      <c r="C148" s="52" t="s">
        <v>42</v>
      </c>
      <c r="D148" s="52" t="s">
        <v>47</v>
      </c>
      <c r="F148" s="32" t="s">
        <v>155</v>
      </c>
      <c r="G148" s="52"/>
      <c r="H148" s="74"/>
      <c r="L148" s="14"/>
    </row>
    <row r="149" spans="1:12" s="32" customFormat="1">
      <c r="B149" s="72" t="s">
        <v>9</v>
      </c>
      <c r="C149" s="52" t="s">
        <v>42</v>
      </c>
      <c r="D149" s="52" t="s">
        <v>47</v>
      </c>
      <c r="E149" s="52"/>
      <c r="F149" s="32" t="s">
        <v>156</v>
      </c>
      <c r="G149" s="52"/>
      <c r="H149" s="74"/>
      <c r="L149" s="14"/>
    </row>
    <row r="150" spans="1:12" s="32" customFormat="1">
      <c r="B150" s="72" t="s">
        <v>9</v>
      </c>
      <c r="C150" s="52" t="s">
        <v>42</v>
      </c>
      <c r="D150" s="52" t="s">
        <v>47</v>
      </c>
      <c r="F150" s="32" t="s">
        <v>157</v>
      </c>
      <c r="G150" s="52"/>
      <c r="H150" s="74"/>
      <c r="L150" s="14"/>
    </row>
    <row r="151" spans="1:12" s="32" customFormat="1">
      <c r="B151" s="72" t="s">
        <v>9</v>
      </c>
      <c r="C151" s="52" t="s">
        <v>42</v>
      </c>
      <c r="D151" s="52" t="s">
        <v>47</v>
      </c>
      <c r="F151" s="32" t="s">
        <v>158</v>
      </c>
      <c r="G151" s="52"/>
      <c r="H151" s="74"/>
      <c r="L151" s="14"/>
    </row>
    <row r="152" spans="1:12" s="32" customFormat="1">
      <c r="B152" s="72" t="s">
        <v>9</v>
      </c>
      <c r="C152" s="52" t="s">
        <v>42</v>
      </c>
      <c r="D152" s="52" t="s">
        <v>47</v>
      </c>
      <c r="F152" s="32" t="s">
        <v>159</v>
      </c>
      <c r="G152" s="52"/>
      <c r="H152" s="74"/>
      <c r="L152" s="14"/>
    </row>
    <row r="153" spans="1:12" s="32" customFormat="1">
      <c r="B153" s="72" t="s">
        <v>9</v>
      </c>
      <c r="C153" s="52" t="s">
        <v>42</v>
      </c>
      <c r="D153" s="52" t="s">
        <v>47</v>
      </c>
      <c r="F153" s="32" t="s">
        <v>160</v>
      </c>
      <c r="G153" s="52"/>
      <c r="H153" s="74"/>
      <c r="L153" s="14"/>
    </row>
    <row r="154" spans="1:12" s="32" customFormat="1">
      <c r="B154" s="72" t="s">
        <v>9</v>
      </c>
      <c r="C154" s="52" t="s">
        <v>42</v>
      </c>
      <c r="D154" s="52" t="s">
        <v>47</v>
      </c>
      <c r="F154" s="32" t="s">
        <v>161</v>
      </c>
      <c r="G154" s="52"/>
      <c r="H154" s="74"/>
      <c r="L154" s="14"/>
    </row>
    <row r="155" spans="1:12" s="32" customFormat="1">
      <c r="B155" s="72" t="s">
        <v>9</v>
      </c>
      <c r="C155" s="52" t="s">
        <v>42</v>
      </c>
      <c r="D155" s="52" t="s">
        <v>47</v>
      </c>
      <c r="F155" s="32" t="s">
        <v>154</v>
      </c>
      <c r="G155" s="52"/>
      <c r="H155" s="74"/>
      <c r="L155" s="14"/>
    </row>
    <row r="156" spans="1:12" s="32" customFormat="1">
      <c r="B156" s="72" t="s">
        <v>9</v>
      </c>
      <c r="C156" s="52" t="s">
        <v>42</v>
      </c>
      <c r="D156" s="52" t="s">
        <v>47</v>
      </c>
      <c r="F156" s="32" t="s">
        <v>162</v>
      </c>
      <c r="G156" s="52"/>
      <c r="H156" s="74"/>
      <c r="L156" s="14"/>
    </row>
    <row r="157" spans="1:12" s="32" customFormat="1">
      <c r="B157" s="72" t="s">
        <v>9</v>
      </c>
      <c r="C157" s="52" t="s">
        <v>163</v>
      </c>
      <c r="D157" s="52" t="s">
        <v>164</v>
      </c>
      <c r="F157" s="32" t="s">
        <v>165</v>
      </c>
      <c r="G157" s="52"/>
      <c r="H157" s="74"/>
      <c r="L157" s="14"/>
    </row>
    <row r="158" spans="1:12" s="32" customFormat="1">
      <c r="B158" s="35"/>
      <c r="C158" s="36"/>
      <c r="D158" s="36"/>
      <c r="E158" s="36"/>
      <c r="F158" s="36" t="s">
        <v>6</v>
      </c>
      <c r="G158" s="36"/>
      <c r="H158" s="40">
        <f>SUM(H111:H157)</f>
        <v>0</v>
      </c>
      <c r="L158" s="14"/>
    </row>
    <row r="159" spans="1:12" ht="18" customHeight="1">
      <c r="A159" s="32"/>
      <c r="B159" s="78"/>
      <c r="C159" s="79"/>
      <c r="D159" s="79"/>
      <c r="E159" s="79"/>
      <c r="F159" s="80" t="s">
        <v>39</v>
      </c>
      <c r="G159" s="80"/>
      <c r="H159" s="81">
        <f>H45+H108+H158</f>
        <v>0</v>
      </c>
      <c r="L159" s="14"/>
    </row>
    <row r="160" spans="1:12">
      <c r="A160" s="29"/>
      <c r="B160" s="82"/>
      <c r="C160" s="82"/>
      <c r="D160" s="82"/>
      <c r="E160" s="82"/>
      <c r="F160" s="83"/>
      <c r="G160" s="83"/>
      <c r="H160" s="84"/>
      <c r="L160" s="14"/>
    </row>
    <row r="161" spans="1:12" ht="17.5">
      <c r="B161" s="85" t="s">
        <v>3</v>
      </c>
      <c r="C161" s="86"/>
      <c r="D161" s="86"/>
      <c r="E161" s="86"/>
      <c r="F161" s="86"/>
      <c r="G161" s="86"/>
      <c r="H161" s="87"/>
      <c r="L161" s="14"/>
    </row>
    <row r="162" spans="1:12">
      <c r="B162" s="24" t="s">
        <v>10</v>
      </c>
      <c r="C162" s="24" t="s">
        <v>11</v>
      </c>
      <c r="D162" s="25" t="s">
        <v>12</v>
      </c>
      <c r="E162" s="25" t="s">
        <v>13</v>
      </c>
      <c r="F162" s="26" t="s">
        <v>14</v>
      </c>
      <c r="G162" s="26"/>
      <c r="H162" s="27" t="s">
        <v>15</v>
      </c>
      <c r="L162" s="14"/>
    </row>
    <row r="163" spans="1:12" hidden="1">
      <c r="B163" s="88" t="s">
        <v>8</v>
      </c>
      <c r="C163" s="3" t="s">
        <v>58</v>
      </c>
      <c r="D163" s="3" t="s">
        <v>64</v>
      </c>
      <c r="E163" s="89" t="s">
        <v>166</v>
      </c>
      <c r="F163" s="89" t="s">
        <v>167</v>
      </c>
      <c r="G163" s="89"/>
      <c r="H163" s="38"/>
      <c r="L163" s="14"/>
    </row>
    <row r="164" spans="1:12">
      <c r="B164" s="88" t="s">
        <v>8</v>
      </c>
      <c r="C164" s="29" t="s">
        <v>22</v>
      </c>
      <c r="D164" s="30" t="s">
        <v>23</v>
      </c>
      <c r="E164" s="89"/>
      <c r="F164" s="29" t="s">
        <v>35</v>
      </c>
      <c r="G164" s="90"/>
      <c r="H164" s="75"/>
      <c r="L164" s="14"/>
    </row>
    <row r="165" spans="1:12" s="32" customFormat="1">
      <c r="A165" s="3"/>
      <c r="B165" s="35"/>
      <c r="C165" s="91"/>
      <c r="D165" s="91"/>
      <c r="E165" s="91"/>
      <c r="F165" s="91" t="s">
        <v>6</v>
      </c>
      <c r="G165" s="91"/>
      <c r="H165" s="40">
        <f>SUM(H163:H164)</f>
        <v>0</v>
      </c>
      <c r="L165" s="14"/>
    </row>
    <row r="166" spans="1:12" s="32" customFormat="1" ht="0.75" customHeight="1">
      <c r="A166" s="3"/>
      <c r="B166" s="92" t="s">
        <v>9</v>
      </c>
      <c r="C166" s="3" t="s">
        <v>58</v>
      </c>
      <c r="D166" s="3" t="s">
        <v>64</v>
      </c>
      <c r="E166" s="89" t="s">
        <v>166</v>
      </c>
      <c r="F166" s="89" t="s">
        <v>167</v>
      </c>
      <c r="G166" s="89"/>
      <c r="H166" s="75"/>
      <c r="L166" s="14"/>
    </row>
    <row r="167" spans="1:12" s="32" customFormat="1">
      <c r="A167" s="3"/>
      <c r="B167" s="93" t="s">
        <v>9</v>
      </c>
      <c r="C167" s="3" t="s">
        <v>58</v>
      </c>
      <c r="D167" s="3" t="s">
        <v>64</v>
      </c>
      <c r="E167" s="89"/>
      <c r="F167" s="89" t="s">
        <v>167</v>
      </c>
      <c r="G167" s="29"/>
      <c r="H167" s="75"/>
      <c r="L167" s="14"/>
    </row>
    <row r="168" spans="1:12" s="32" customFormat="1" hidden="1">
      <c r="A168" s="3"/>
      <c r="B168" s="92" t="s">
        <v>9</v>
      </c>
      <c r="C168" s="29" t="s">
        <v>22</v>
      </c>
      <c r="D168" s="30" t="s">
        <v>23</v>
      </c>
      <c r="E168" s="89" t="s">
        <v>168</v>
      </c>
      <c r="F168" s="29" t="s">
        <v>38</v>
      </c>
      <c r="G168" s="29"/>
      <c r="H168" s="75"/>
      <c r="L168" s="14"/>
    </row>
    <row r="169" spans="1:12" s="32" customFormat="1">
      <c r="B169" s="94"/>
      <c r="C169" s="95"/>
      <c r="D169" s="95"/>
      <c r="E169" s="95"/>
      <c r="F169" s="95" t="s">
        <v>6</v>
      </c>
      <c r="G169" s="95"/>
      <c r="H169" s="96">
        <f>SUM(H166:H167)</f>
        <v>0</v>
      </c>
      <c r="L169" s="14"/>
    </row>
    <row r="170" spans="1:12" s="29" customFormat="1">
      <c r="A170" s="32"/>
      <c r="B170" s="97"/>
      <c r="C170" s="98"/>
      <c r="D170" s="98"/>
      <c r="E170" s="98"/>
      <c r="F170" s="99" t="s">
        <v>39</v>
      </c>
      <c r="G170" s="99"/>
      <c r="H170" s="100">
        <f>H165+H169</f>
        <v>0</v>
      </c>
      <c r="L170" s="14"/>
    </row>
    <row r="171" spans="1:12" hidden="1">
      <c r="A171" s="29"/>
      <c r="B171" s="82"/>
      <c r="C171" s="82"/>
      <c r="D171" s="82"/>
      <c r="E171" s="82"/>
      <c r="F171" s="83"/>
      <c r="G171" s="83"/>
      <c r="H171" s="84"/>
      <c r="L171" s="14"/>
    </row>
    <row r="172" spans="1:12" ht="17.5" hidden="1">
      <c r="B172" s="101" t="s">
        <v>5</v>
      </c>
      <c r="C172" s="102"/>
      <c r="D172" s="102"/>
      <c r="E172" s="102"/>
      <c r="F172" s="102"/>
      <c r="G172" s="102"/>
      <c r="H172" s="103"/>
      <c r="L172" s="14"/>
    </row>
    <row r="173" spans="1:12" hidden="1">
      <c r="B173" s="24" t="s">
        <v>10</v>
      </c>
      <c r="C173" s="24" t="s">
        <v>11</v>
      </c>
      <c r="D173" s="25" t="s">
        <v>12</v>
      </c>
      <c r="E173" s="25" t="s">
        <v>13</v>
      </c>
      <c r="F173" s="25" t="s">
        <v>14</v>
      </c>
      <c r="G173" s="25"/>
      <c r="H173" s="27" t="s">
        <v>15</v>
      </c>
      <c r="L173" s="14"/>
    </row>
    <row r="174" spans="1:12" hidden="1">
      <c r="B174" s="104" t="s">
        <v>8</v>
      </c>
      <c r="C174" s="29" t="s">
        <v>43</v>
      </c>
      <c r="D174" s="29" t="s">
        <v>43</v>
      </c>
      <c r="E174" s="30" t="s">
        <v>169</v>
      </c>
      <c r="F174" s="30" t="s">
        <v>170</v>
      </c>
      <c r="G174" s="30"/>
      <c r="H174" s="75"/>
      <c r="L174" s="14"/>
    </row>
    <row r="175" spans="1:12" s="32" customFormat="1" hidden="1">
      <c r="A175" s="3"/>
      <c r="B175" s="35"/>
      <c r="C175" s="91"/>
      <c r="D175" s="91"/>
      <c r="E175" s="91"/>
      <c r="F175" s="91" t="s">
        <v>6</v>
      </c>
      <c r="G175" s="91"/>
      <c r="H175" s="40">
        <f>SUM(H174:H174)</f>
        <v>0</v>
      </c>
      <c r="L175" s="14"/>
    </row>
    <row r="176" spans="1:12" s="32" customFormat="1" hidden="1">
      <c r="B176" s="105" t="s">
        <v>9</v>
      </c>
      <c r="C176" s="29" t="s">
        <v>22</v>
      </c>
      <c r="D176" s="29" t="s">
        <v>22</v>
      </c>
      <c r="E176" s="30" t="s">
        <v>22</v>
      </c>
      <c r="F176" s="30" t="s">
        <v>171</v>
      </c>
      <c r="G176" s="30"/>
      <c r="H176" s="75"/>
      <c r="L176" s="14"/>
    </row>
    <row r="177" spans="1:12" s="32" customFormat="1" hidden="1">
      <c r="B177" s="35"/>
      <c r="C177" s="36"/>
      <c r="D177" s="36"/>
      <c r="E177" s="36"/>
      <c r="F177" s="36" t="s">
        <v>6</v>
      </c>
      <c r="G177" s="36"/>
      <c r="H177" s="40">
        <f>SUM(H176:H176)</f>
        <v>0</v>
      </c>
      <c r="L177" s="14"/>
    </row>
    <row r="178" spans="1:12" hidden="1">
      <c r="A178" s="32"/>
      <c r="B178" s="42"/>
      <c r="C178" s="43"/>
      <c r="D178" s="43"/>
      <c r="E178" s="43"/>
      <c r="F178" s="44" t="s">
        <v>39</v>
      </c>
      <c r="G178" s="44"/>
      <c r="H178" s="45">
        <f>H175+H177</f>
        <v>0</v>
      </c>
      <c r="L178" s="14"/>
    </row>
    <row r="179" spans="1:12" hidden="1">
      <c r="A179" s="29"/>
      <c r="B179" s="82"/>
      <c r="C179" s="82"/>
      <c r="D179" s="82"/>
      <c r="E179" s="82"/>
      <c r="F179" s="83"/>
      <c r="G179" s="83"/>
      <c r="H179" s="84"/>
      <c r="L179" s="14"/>
    </row>
    <row r="180" spans="1:12" ht="17.5" hidden="1">
      <c r="B180" s="106" t="s">
        <v>4</v>
      </c>
      <c r="C180" s="107"/>
      <c r="D180" s="107"/>
      <c r="E180" s="107"/>
      <c r="F180" s="107"/>
      <c r="G180" s="107"/>
      <c r="H180" s="108"/>
      <c r="L180" s="14"/>
    </row>
    <row r="181" spans="1:12" hidden="1">
      <c r="B181" s="24" t="s">
        <v>10</v>
      </c>
      <c r="C181" s="24" t="s">
        <v>11</v>
      </c>
      <c r="D181" s="25" t="s">
        <v>12</v>
      </c>
      <c r="E181" s="25" t="s">
        <v>13</v>
      </c>
      <c r="F181" s="25" t="s">
        <v>14</v>
      </c>
      <c r="G181" s="25"/>
      <c r="H181" s="27" t="s">
        <v>15</v>
      </c>
      <c r="L181" s="14"/>
    </row>
    <row r="182" spans="1:12" hidden="1">
      <c r="B182" s="104" t="s">
        <v>8</v>
      </c>
      <c r="C182" s="109" t="s">
        <v>22</v>
      </c>
      <c r="D182" s="29" t="s">
        <v>23</v>
      </c>
      <c r="E182" s="89" t="s">
        <v>172</v>
      </c>
      <c r="F182" s="29" t="s">
        <v>173</v>
      </c>
      <c r="G182" s="32"/>
      <c r="H182" s="75"/>
      <c r="L182" s="14"/>
    </row>
    <row r="183" spans="1:12" hidden="1">
      <c r="B183" s="104" t="s">
        <v>8</v>
      </c>
      <c r="C183" s="109" t="s">
        <v>42</v>
      </c>
      <c r="D183" s="29" t="s">
        <v>43</v>
      </c>
      <c r="E183" s="30" t="s">
        <v>169</v>
      </c>
      <c r="F183" s="29" t="s">
        <v>174</v>
      </c>
      <c r="G183" s="32"/>
      <c r="H183" s="75"/>
      <c r="L183" s="14"/>
    </row>
    <row r="184" spans="1:12" s="32" customFormat="1" hidden="1">
      <c r="A184" s="3"/>
      <c r="B184" s="35"/>
      <c r="C184" s="91"/>
      <c r="D184" s="91"/>
      <c r="E184" s="91"/>
      <c r="F184" s="91" t="s">
        <v>6</v>
      </c>
      <c r="G184" s="91"/>
      <c r="H184" s="40">
        <f>SUM(H182:H183)</f>
        <v>0</v>
      </c>
      <c r="L184" s="14"/>
    </row>
    <row r="185" spans="1:12" s="32" customFormat="1" hidden="1">
      <c r="A185" s="3"/>
      <c r="B185" s="110" t="s">
        <v>9</v>
      </c>
      <c r="C185" s="109" t="s">
        <v>42</v>
      </c>
      <c r="D185" s="29" t="s">
        <v>43</v>
      </c>
      <c r="E185" s="30" t="s">
        <v>175</v>
      </c>
      <c r="F185" s="30" t="s">
        <v>176</v>
      </c>
      <c r="G185" s="30"/>
      <c r="H185" s="75"/>
      <c r="L185" s="14"/>
    </row>
    <row r="186" spans="1:12" s="32" customFormat="1" hidden="1">
      <c r="A186" s="3"/>
      <c r="B186" s="110" t="s">
        <v>9</v>
      </c>
      <c r="C186" s="109" t="s">
        <v>42</v>
      </c>
      <c r="D186" s="29" t="s">
        <v>177</v>
      </c>
      <c r="E186" s="30" t="s">
        <v>178</v>
      </c>
      <c r="F186" s="30" t="s">
        <v>179</v>
      </c>
      <c r="G186" s="30"/>
      <c r="H186" s="75"/>
      <c r="L186" s="14"/>
    </row>
    <row r="187" spans="1:12" s="32" customFormat="1" hidden="1">
      <c r="B187" s="110" t="s">
        <v>9</v>
      </c>
      <c r="C187" s="109" t="s">
        <v>22</v>
      </c>
      <c r="D187" s="29" t="s">
        <v>23</v>
      </c>
      <c r="E187" s="89" t="s">
        <v>168</v>
      </c>
      <c r="F187" s="29" t="s">
        <v>173</v>
      </c>
      <c r="G187" s="30"/>
      <c r="H187" s="75"/>
      <c r="L187" s="14"/>
    </row>
    <row r="188" spans="1:12" s="32" customFormat="1" hidden="1">
      <c r="B188" s="35"/>
      <c r="C188" s="36"/>
      <c r="D188" s="36"/>
      <c r="E188" s="36"/>
      <c r="F188" s="36" t="s">
        <v>6</v>
      </c>
      <c r="G188" s="36"/>
      <c r="H188" s="40">
        <f>SUM(H185:H187)</f>
        <v>0</v>
      </c>
      <c r="L188" s="14"/>
    </row>
    <row r="189" spans="1:12" hidden="1">
      <c r="A189" s="32"/>
      <c r="B189" s="111"/>
      <c r="C189" s="112"/>
      <c r="D189" s="112"/>
      <c r="E189" s="112"/>
      <c r="F189" s="113" t="s">
        <v>39</v>
      </c>
      <c r="G189" s="113"/>
      <c r="H189" s="114">
        <f>H184+H188</f>
        <v>0</v>
      </c>
      <c r="L189" s="14"/>
    </row>
    <row r="190" spans="1:12">
      <c r="F190" s="115" t="s">
        <v>180</v>
      </c>
      <c r="G190" s="115"/>
      <c r="H190" s="116">
        <f>SUM(H35,H159,H170,H189,H178)</f>
        <v>0</v>
      </c>
      <c r="L190" s="14"/>
    </row>
    <row r="191" spans="1:12" s="62" customFormat="1">
      <c r="F191" s="117"/>
      <c r="G191" s="117"/>
      <c r="H191" s="118"/>
    </row>
    <row r="192" spans="1:12" s="62" customFormat="1">
      <c r="F192" s="117"/>
      <c r="G192" s="117"/>
      <c r="H192" s="118"/>
    </row>
    <row r="193" spans="2:13" s="62" customFormat="1">
      <c r="F193" s="117"/>
      <c r="G193" s="117"/>
      <c r="H193" s="118"/>
    </row>
    <row r="194" spans="2:13" s="62" customFormat="1">
      <c r="F194" s="117"/>
      <c r="G194" s="117"/>
      <c r="H194" s="118"/>
    </row>
    <row r="195" spans="2:13" s="62" customFormat="1">
      <c r="F195" s="117"/>
      <c r="G195" s="117"/>
      <c r="H195" s="118"/>
    </row>
    <row r="196" spans="2:13" s="62" customFormat="1">
      <c r="F196" s="117"/>
      <c r="G196" s="117"/>
      <c r="H196" s="118"/>
    </row>
    <row r="197" spans="2:13" s="62" customFormat="1">
      <c r="F197" s="117"/>
      <c r="G197" s="117"/>
      <c r="H197" s="118"/>
    </row>
    <row r="198" spans="2:13" s="62" customFormat="1">
      <c r="F198" s="117"/>
      <c r="G198" s="117"/>
      <c r="H198" s="118"/>
    </row>
    <row r="199" spans="2:13" s="62" customFormat="1">
      <c r="F199" s="117"/>
      <c r="G199" s="117"/>
      <c r="H199" s="118"/>
    </row>
    <row r="200" spans="2:13">
      <c r="B200" s="20" t="s">
        <v>181</v>
      </c>
      <c r="H200" s="46" t="e">
        <f>H190=#REF!</f>
        <v>#REF!</v>
      </c>
    </row>
    <row r="201" spans="2:13" ht="14.5" thickBot="1">
      <c r="B201" s="20"/>
    </row>
    <row r="202" spans="2:13">
      <c r="B202" s="119" t="s">
        <v>0</v>
      </c>
      <c r="C202" s="120" t="s">
        <v>182</v>
      </c>
      <c r="D202" s="121"/>
      <c r="E202" s="121"/>
      <c r="F202" s="121"/>
      <c r="G202" s="121"/>
      <c r="H202" s="121"/>
    </row>
    <row r="203" spans="2:13" ht="14.5" thickBot="1">
      <c r="B203" s="122"/>
      <c r="C203" s="123" t="s">
        <v>1</v>
      </c>
      <c r="D203" s="124" t="s">
        <v>2</v>
      </c>
      <c r="E203" s="124" t="s">
        <v>3</v>
      </c>
      <c r="F203" s="125" t="s">
        <v>4</v>
      </c>
      <c r="G203" s="125" t="s">
        <v>5</v>
      </c>
      <c r="H203" s="126" t="s">
        <v>6</v>
      </c>
      <c r="I203" s="127"/>
      <c r="L203" s="46"/>
    </row>
    <row r="204" spans="2:13">
      <c r="B204" s="12" t="s">
        <v>7</v>
      </c>
      <c r="C204" s="13">
        <f>H15</f>
        <v>0</v>
      </c>
      <c r="D204" s="128">
        <f>H45</f>
        <v>0</v>
      </c>
      <c r="E204" s="128">
        <v>0</v>
      </c>
      <c r="F204" s="129">
        <v>0</v>
      </c>
      <c r="G204" s="129">
        <v>0</v>
      </c>
      <c r="H204" s="130">
        <f>SUM(C204:G204)</f>
        <v>0</v>
      </c>
      <c r="J204" s="32"/>
      <c r="K204" s="131"/>
      <c r="L204" s="14"/>
    </row>
    <row r="205" spans="2:13">
      <c r="B205" s="15" t="s">
        <v>8</v>
      </c>
      <c r="C205" s="132">
        <f>H24</f>
        <v>0</v>
      </c>
      <c r="D205" s="133">
        <f>H108</f>
        <v>0</v>
      </c>
      <c r="E205" s="128">
        <f>H165</f>
        <v>0</v>
      </c>
      <c r="F205" s="130">
        <f>H184</f>
        <v>0</v>
      </c>
      <c r="G205" s="130">
        <v>0</v>
      </c>
      <c r="H205" s="130">
        <f>SUM(C205:G205)</f>
        <v>0</v>
      </c>
      <c r="J205" s="32"/>
      <c r="K205" s="131"/>
      <c r="L205" s="14"/>
    </row>
    <row r="206" spans="2:13" ht="14.5" thickBot="1">
      <c r="B206" s="16" t="s">
        <v>9</v>
      </c>
      <c r="C206" s="73">
        <f>H34</f>
        <v>0</v>
      </c>
      <c r="D206" s="133">
        <f>H158</f>
        <v>0</v>
      </c>
      <c r="E206" s="134">
        <f>H169</f>
        <v>0</v>
      </c>
      <c r="F206" s="135">
        <f>H188</f>
        <v>0</v>
      </c>
      <c r="G206" s="135">
        <f>H177</f>
        <v>0</v>
      </c>
      <c r="H206" s="130">
        <f t="shared" ref="H206" si="2">SUM(C206:G206)</f>
        <v>0</v>
      </c>
      <c r="I206" s="46"/>
      <c r="J206" s="131"/>
      <c r="K206" s="131"/>
      <c r="L206" s="14"/>
    </row>
    <row r="207" spans="2:13" ht="14.5" thickBot="1">
      <c r="B207" s="17" t="s">
        <v>6</v>
      </c>
      <c r="C207" s="18">
        <f>SUM(C204:C206)</f>
        <v>0</v>
      </c>
      <c r="D207" s="18">
        <f>SUM(D204:D206)</f>
        <v>0</v>
      </c>
      <c r="E207" s="136">
        <f t="shared" ref="E207" si="3">SUM(E204:E206)</f>
        <v>0</v>
      </c>
      <c r="F207" s="18">
        <f>SUM(F205,F206)</f>
        <v>0</v>
      </c>
      <c r="G207" s="18">
        <f>SUM(G205,G206)</f>
        <v>0</v>
      </c>
      <c r="H207" s="137">
        <f>SUM(H204:H206)</f>
        <v>0</v>
      </c>
      <c r="J207" s="32"/>
      <c r="K207" s="32"/>
      <c r="L207" s="14"/>
    </row>
    <row r="208" spans="2:13" ht="14.5" thickBot="1">
      <c r="D208" s="127"/>
      <c r="E208" s="127"/>
      <c r="F208" s="127"/>
      <c r="G208" s="127"/>
      <c r="I208" s="138"/>
      <c r="J208" s="131"/>
      <c r="K208" s="32"/>
      <c r="L208" s="14"/>
      <c r="M208" s="127"/>
    </row>
    <row r="209" spans="1:13">
      <c r="B209" s="139" t="s">
        <v>10</v>
      </c>
      <c r="C209" s="140" t="s">
        <v>183</v>
      </c>
      <c r="D209" s="141"/>
      <c r="E209" s="141"/>
      <c r="F209" s="141"/>
      <c r="G209" s="141"/>
      <c r="H209" s="142"/>
      <c r="I209" s="138"/>
      <c r="J209" s="32"/>
      <c r="K209" s="143" t="e">
        <f>#REF!+#REF!</f>
        <v>#REF!</v>
      </c>
      <c r="L209" s="14"/>
      <c r="M209" s="127"/>
    </row>
    <row r="210" spans="1:13" ht="14.5" thickBot="1">
      <c r="B210" s="144"/>
      <c r="C210" s="145" t="s">
        <v>1</v>
      </c>
      <c r="D210" s="146" t="s">
        <v>2</v>
      </c>
      <c r="E210" s="146" t="s">
        <v>3</v>
      </c>
      <c r="F210" s="147" t="s">
        <v>4</v>
      </c>
      <c r="G210" s="147" t="s">
        <v>5</v>
      </c>
      <c r="H210" s="148" t="s">
        <v>6</v>
      </c>
      <c r="J210" s="32"/>
      <c r="K210" s="32"/>
      <c r="L210" s="14"/>
    </row>
    <row r="211" spans="1:13">
      <c r="B211" s="149" t="s">
        <v>7</v>
      </c>
      <c r="C211" s="13"/>
      <c r="D211" s="134"/>
      <c r="E211" s="128"/>
      <c r="F211" s="40"/>
      <c r="G211" s="128"/>
      <c r="H211" s="150">
        <f>SUM(C211:G211)</f>
        <v>0</v>
      </c>
      <c r="L211" s="14"/>
    </row>
    <row r="212" spans="1:13" ht="14.5" thickBot="1">
      <c r="B212" s="151" t="s">
        <v>8</v>
      </c>
      <c r="C212" s="132"/>
      <c r="D212" s="134"/>
      <c r="E212" s="128"/>
      <c r="F212" s="129"/>
      <c r="G212" s="128"/>
      <c r="H212" s="150">
        <f>SUM(C212:G212)</f>
        <v>0</v>
      </c>
      <c r="J212" s="3" t="s">
        <v>184</v>
      </c>
      <c r="L212" s="14"/>
    </row>
    <row r="213" spans="1:13" ht="14.5" thickBot="1">
      <c r="B213" s="151" t="s">
        <v>9</v>
      </c>
      <c r="C213" s="152"/>
      <c r="D213" s="134"/>
      <c r="E213" s="134"/>
      <c r="F213" s="129">
        <f>F205-F212</f>
        <v>0</v>
      </c>
      <c r="G213" s="128"/>
      <c r="H213" s="150">
        <f>SUM(C213:G213)</f>
        <v>0</v>
      </c>
      <c r="L213" s="14"/>
    </row>
    <row r="214" spans="1:13" ht="14.5" thickBot="1">
      <c r="B214" s="17" t="s">
        <v>6</v>
      </c>
      <c r="C214" s="152">
        <f t="shared" ref="C214:F214" si="4">SUM(C211:C213)</f>
        <v>0</v>
      </c>
      <c r="D214" s="153">
        <f>SUM(D211:D213)</f>
        <v>0</v>
      </c>
      <c r="E214" s="154">
        <f t="shared" si="4"/>
        <v>0</v>
      </c>
      <c r="F214" s="154">
        <f t="shared" si="4"/>
        <v>0</v>
      </c>
      <c r="G214" s="154">
        <f>SUM(G211:G213)</f>
        <v>0</v>
      </c>
      <c r="H214" s="155">
        <f>SUM(H211:H213)</f>
        <v>0</v>
      </c>
      <c r="L214" s="14"/>
    </row>
    <row r="215" spans="1:13" ht="14.5" thickBot="1">
      <c r="B215" s="156" t="s">
        <v>185</v>
      </c>
      <c r="C215" s="157">
        <f>C207-C214</f>
        <v>0</v>
      </c>
      <c r="D215" s="158">
        <f>D207-D214</f>
        <v>0</v>
      </c>
      <c r="E215" s="158">
        <f>E207-E214</f>
        <v>0</v>
      </c>
      <c r="F215" s="158">
        <f t="shared" ref="F215" si="5">F207-F214</f>
        <v>0</v>
      </c>
      <c r="G215" s="158"/>
      <c r="H215" s="159">
        <f>H207-H214</f>
        <v>0</v>
      </c>
    </row>
    <row r="216" spans="1:13">
      <c r="D216" s="127"/>
      <c r="E216" s="160"/>
      <c r="F216" s="127"/>
      <c r="G216" s="127"/>
    </row>
    <row r="217" spans="1:13">
      <c r="B217" s="32"/>
      <c r="C217" s="32"/>
      <c r="D217" s="32"/>
      <c r="E217" s="32"/>
      <c r="F217" s="143"/>
      <c r="G217" s="143"/>
      <c r="H217" s="131"/>
    </row>
    <row r="218" spans="1:13">
      <c r="A218" s="161"/>
      <c r="B218" s="162" t="s">
        <v>10</v>
      </c>
      <c r="C218" s="163" t="s">
        <v>186</v>
      </c>
      <c r="D218" s="164"/>
      <c r="E218" s="165"/>
      <c r="F218" s="32"/>
      <c r="G218" s="32"/>
      <c r="H218" s="131"/>
    </row>
    <row r="219" spans="1:13">
      <c r="A219" s="161"/>
      <c r="B219" s="162"/>
      <c r="C219" s="166" t="s">
        <v>1</v>
      </c>
      <c r="D219" s="166" t="s">
        <v>2</v>
      </c>
      <c r="E219" s="166" t="s">
        <v>3</v>
      </c>
      <c r="F219" s="32"/>
      <c r="G219" s="32"/>
      <c r="H219" s="131"/>
    </row>
    <row r="220" spans="1:13">
      <c r="A220" s="161"/>
      <c r="B220" s="167" t="s">
        <v>7</v>
      </c>
      <c r="C220" s="168" t="s">
        <v>187</v>
      </c>
      <c r="D220" s="168" t="s">
        <v>188</v>
      </c>
      <c r="E220" s="169"/>
      <c r="F220" s="32"/>
      <c r="G220" s="32"/>
      <c r="H220" s="131"/>
    </row>
    <row r="221" spans="1:13">
      <c r="A221" s="161"/>
      <c r="B221" s="167" t="s">
        <v>8</v>
      </c>
      <c r="C221" s="168" t="s">
        <v>189</v>
      </c>
      <c r="D221" s="168" t="s">
        <v>190</v>
      </c>
      <c r="E221" s="168" t="s">
        <v>191</v>
      </c>
      <c r="F221" s="170"/>
      <c r="G221" s="32"/>
      <c r="H221" s="131"/>
    </row>
    <row r="222" spans="1:13">
      <c r="A222" s="161"/>
      <c r="B222" s="167" t="s">
        <v>9</v>
      </c>
      <c r="C222" s="168" t="s">
        <v>192</v>
      </c>
      <c r="D222" s="168" t="s">
        <v>193</v>
      </c>
      <c r="E222" s="168" t="s">
        <v>194</v>
      </c>
      <c r="F222" s="170"/>
      <c r="G222" s="32"/>
      <c r="H222" s="131"/>
    </row>
    <row r="223" spans="1:13">
      <c r="A223" s="161"/>
      <c r="B223" s="162" t="s">
        <v>10</v>
      </c>
      <c r="C223" s="163" t="str">
        <f>"คงเหลือก่อนทำจ่าย"&amp;C2</f>
        <v>คงเหลือก่อนทำจ่าย</v>
      </c>
      <c r="D223" s="164"/>
      <c r="E223" s="165"/>
      <c r="F223" s="131"/>
      <c r="G223" s="131"/>
      <c r="H223" s="160"/>
    </row>
    <row r="224" spans="1:13">
      <c r="A224" s="161"/>
      <c r="B224" s="162"/>
      <c r="C224" s="166" t="s">
        <v>1</v>
      </c>
      <c r="D224" s="166" t="s">
        <v>2</v>
      </c>
      <c r="E224" s="166" t="s">
        <v>3</v>
      </c>
      <c r="F224" s="131"/>
      <c r="G224" s="131"/>
      <c r="H224" s="131"/>
    </row>
    <row r="225" spans="1:8">
      <c r="A225" s="161"/>
      <c r="B225" s="167" t="s">
        <v>7</v>
      </c>
      <c r="C225" s="171"/>
      <c r="D225" s="172"/>
      <c r="E225" s="169"/>
      <c r="F225" s="131"/>
      <c r="G225" s="131"/>
      <c r="H225" s="131"/>
    </row>
    <row r="226" spans="1:8">
      <c r="A226" s="161"/>
      <c r="B226" s="167" t="s">
        <v>8</v>
      </c>
      <c r="C226" s="171"/>
      <c r="D226" s="172"/>
      <c r="E226" s="133"/>
      <c r="F226" s="131"/>
      <c r="G226" s="131"/>
      <c r="H226" s="131"/>
    </row>
    <row r="227" spans="1:8">
      <c r="A227" s="161"/>
      <c r="B227" s="167" t="s">
        <v>9</v>
      </c>
      <c r="C227" s="171"/>
      <c r="D227" s="172"/>
      <c r="E227" s="173"/>
      <c r="F227" s="131"/>
      <c r="G227" s="131"/>
      <c r="H227" s="131"/>
    </row>
    <row r="228" spans="1:8">
      <c r="A228" s="161"/>
      <c r="B228" s="162" t="s">
        <v>10</v>
      </c>
      <c r="C228" s="163" t="str">
        <f>"คงเหลือหลังทำจ่าย"&amp;C2</f>
        <v>คงเหลือหลังทำจ่าย</v>
      </c>
      <c r="D228" s="164"/>
      <c r="E228" s="165"/>
      <c r="F228" s="131"/>
      <c r="G228" s="131"/>
      <c r="H228" s="131"/>
    </row>
    <row r="229" spans="1:8">
      <c r="A229" s="161"/>
      <c r="B229" s="162"/>
      <c r="C229" s="166" t="s">
        <v>1</v>
      </c>
      <c r="D229" s="166" t="s">
        <v>2</v>
      </c>
      <c r="E229" s="166" t="s">
        <v>3</v>
      </c>
      <c r="F229" s="131"/>
      <c r="G229" s="131"/>
      <c r="H229" s="131"/>
    </row>
    <row r="230" spans="1:8">
      <c r="A230" s="161"/>
      <c r="B230" s="167" t="s">
        <v>7</v>
      </c>
      <c r="C230" s="174">
        <f t="shared" ref="C230:C232" si="6">C225-C211</f>
        <v>0</v>
      </c>
      <c r="D230" s="174">
        <f>D225-D211</f>
        <v>0</v>
      </c>
      <c r="E230" s="169"/>
      <c r="F230" s="131"/>
      <c r="G230" s="131"/>
      <c r="H230" s="131"/>
    </row>
    <row r="231" spans="1:8">
      <c r="A231" s="161"/>
      <c r="B231" s="167" t="s">
        <v>8</v>
      </c>
      <c r="C231" s="174">
        <f t="shared" si="6"/>
        <v>0</v>
      </c>
      <c r="D231" s="174">
        <f>D226-D212</f>
        <v>0</v>
      </c>
      <c r="E231" s="174">
        <f>E226-E212</f>
        <v>0</v>
      </c>
      <c r="F231" s="131"/>
      <c r="G231" s="131"/>
      <c r="H231" s="131"/>
    </row>
    <row r="232" spans="1:8">
      <c r="A232" s="161"/>
      <c r="B232" s="167" t="s">
        <v>9</v>
      </c>
      <c r="C232" s="174">
        <f t="shared" si="6"/>
        <v>0</v>
      </c>
      <c r="D232" s="174">
        <f>D227-D213</f>
        <v>0</v>
      </c>
      <c r="E232" s="174">
        <f>E227-E213</f>
        <v>0</v>
      </c>
      <c r="F232" s="131"/>
      <c r="G232" s="131"/>
      <c r="H232" s="131"/>
    </row>
    <row r="233" spans="1:8">
      <c r="A233" s="161"/>
      <c r="B233" s="32"/>
      <c r="C233" s="32"/>
      <c r="D233" s="32"/>
      <c r="E233" s="32"/>
      <c r="F233" s="131"/>
      <c r="G233" s="131"/>
      <c r="H233" s="131"/>
    </row>
    <row r="234" spans="1:8" s="32" customFormat="1">
      <c r="A234" s="161"/>
      <c r="H234" s="131"/>
    </row>
    <row r="235" spans="1:8">
      <c r="A235" s="32"/>
      <c r="C235" s="160"/>
    </row>
    <row r="236" spans="1:8">
      <c r="C236" s="160"/>
    </row>
    <row r="237" spans="1:8">
      <c r="C237" s="160"/>
    </row>
  </sheetData>
  <mergeCells count="19">
    <mergeCell ref="B218:B219"/>
    <mergeCell ref="C218:E218"/>
    <mergeCell ref="B223:B224"/>
    <mergeCell ref="C223:E223"/>
    <mergeCell ref="B228:B229"/>
    <mergeCell ref="C228:E228"/>
    <mergeCell ref="B161:H161"/>
    <mergeCell ref="B172:H172"/>
    <mergeCell ref="B180:H180"/>
    <mergeCell ref="B202:B203"/>
    <mergeCell ref="C202:H202"/>
    <mergeCell ref="B209:B210"/>
    <mergeCell ref="C209:G209"/>
    <mergeCell ref="C1:H1"/>
    <mergeCell ref="C2:H2"/>
    <mergeCell ref="B10:H10"/>
    <mergeCell ref="B45:F45"/>
    <mergeCell ref="F47:G47"/>
    <mergeCell ref="B108:F108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5" fitToHeight="2" orientation="portrait" r:id="rId1"/>
  <rowBreaks count="2" manualBreakCount="2">
    <brk id="45" max="7" man="1"/>
    <brk id="109" max="7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19BD4AC-F319-4976-9D74-B2084652B158}">
          <x14:formula1>
            <xm:f>'C:\Users\sumita.p\Desktop\[pay.xlsx]Grouping'!#REF!</xm:f>
          </x14:formula1>
          <xm:sqref>B38 B163:B164 B48:B107</xm:sqref>
        </x14:dataValidation>
        <x14:dataValidation type="list" allowBlank="1" showInputMessage="1" showErrorMessage="1" xr:uid="{AFDA0267-AE75-4569-8AA3-D5DD2623F08D}">
          <x14:formula1>
            <xm:f>'[05.06.26 GROUP_Payment Report.xlsx]Grouping'!#REF!</xm:f>
          </x14:formula1>
          <xm:sqref>B182:B183 B176 B174 B185:B187 B17:B24 B12:B15 B26:B34 B166 B168</xm:sqref>
        </x14:dataValidation>
        <x14:dataValidation type="list" allowBlank="1" showInputMessage="1" showErrorMessage="1" xr:uid="{F1416FB7-D193-4183-A020-69DF97864865}">
          <x14:formula1>
            <xm:f>'L:\DEPARTMENT FIN-CENTER\01. Working paper\01. Working papers_Daily\05. Payment list\PAYMENT REPORT\11.23\[17.11.23 GROUP_Payment Report Revised.xlsx]Grouping'!#REF!</xm:f>
          </x14:formula1>
          <xm:sqref>D176 D185:D187 D174 D182:D183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PAYMENT REPORT </vt:lpstr>
      <vt:lpstr>'PAYMENT REPORT '!Print_Area</vt:lpstr>
      <vt:lpstr>'PAYMENT REPORT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PONGPANOTYOD Buathong</dc:creator>
  <cp:lastModifiedBy>PONGPANOTYOD Buathong</cp:lastModifiedBy>
  <dcterms:created xsi:type="dcterms:W3CDTF">2026-06-05T08:14:20Z</dcterms:created>
  <dcterms:modified xsi:type="dcterms:W3CDTF">2026-06-05T08:14:39Z</dcterms:modified>
</cp:coreProperties>
</file>