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panotyod.b\Desktop\Cashflow Management\sample-data\"/>
    </mc:Choice>
  </mc:AlternateContent>
  <xr:revisionPtr revIDLastSave="0" documentId="13_ncr:1_{AEA0839A-BC84-434E-A00A-7E4F4F09C722}" xr6:coauthVersionLast="36" xr6:coauthVersionMax="36" xr10:uidLastSave="{00000000-0000-0000-0000-000000000000}"/>
  <bookViews>
    <workbookView xWindow="0" yWindow="0" windowWidth="19200" windowHeight="9710" xr2:uid="{DA52F850-8C10-4886-83CF-C9C7873A366A}"/>
  </bookViews>
  <sheets>
    <sheet name="คำอธิบาย" sheetId="2" r:id="rId1"/>
    <sheet name="PN_Inpu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I4" i="1"/>
  <c r="J3" i="1"/>
  <c r="I3" i="1"/>
  <c r="J2" i="1"/>
  <c r="I2" i="1"/>
</calcChain>
</file>

<file path=xl/sharedStrings.xml><?xml version="1.0" encoding="utf-8"?>
<sst xmlns="http://schemas.openxmlformats.org/spreadsheetml/2006/main" count="72" uniqueCount="45">
  <si>
    <t>PN_No</t>
  </si>
  <si>
    <t>Entity</t>
  </si>
  <si>
    <t>Beneficiary</t>
  </si>
  <si>
    <t>Issue_Date</t>
  </si>
  <si>
    <t>Due_Date</t>
  </si>
  <si>
    <t>Term_Days</t>
  </si>
  <si>
    <t>Principal</t>
  </si>
  <si>
    <t>Interest_Rate_PA</t>
  </si>
  <si>
    <t>Interest_Amount</t>
  </si>
  <si>
    <t>Total_Payable</t>
  </si>
  <si>
    <t>Bank_Account</t>
  </si>
  <si>
    <t>Status</t>
  </si>
  <si>
    <t>Payment_Date</t>
  </si>
  <si>
    <t>CF_Principal</t>
  </si>
  <si>
    <t>CF_Interest</t>
  </si>
  <si>
    <t>Remark</t>
  </si>
  <si>
    <t>PN-HMW-26-0145</t>
  </si>
  <si>
    <t>HMW</t>
  </si>
  <si>
    <t>Honda Automobile (Thailand)</t>
  </si>
  <si>
    <t>BA-002</t>
  </si>
  <si>
    <t>outstanding</t>
  </si>
  <si>
    <t>O2</t>
  </si>
  <si>
    <t>F1</t>
  </si>
  <si>
    <t>ซื้อรถยนต์ Q1</t>
  </si>
  <si>
    <t>PN-HMW-26-0142</t>
  </si>
  <si>
    <t>TC Subaru Thailand</t>
  </si>
  <si>
    <t>PN-HMW-26-0138</t>
  </si>
  <si>
    <t>paid</t>
  </si>
  <si>
    <t>คู่มือการกรอกข้อมูล PN Payment</t>
  </si>
  <si>
    <t>รหัสตั๋วเงิน รูปแบบ PN-[Entity]-[ปี]-[เลขที่] เช่น PN-HMW-26-0145</t>
  </si>
  <si>
    <t>บริษัทที่ออกตั๋ว: HMW / ACG / CLIK</t>
  </si>
  <si>
    <t>ชื่อผู้รับเงิน (Supplier) เช่น Honda Automobile (Thailand)</t>
  </si>
  <si>
    <t>วันที่ออกตั๋ว รูปแบบ YYYY-MM-DD</t>
  </si>
  <si>
    <t>วันครบกำหนดชำระ รูปแบบ YYYY-MM-DD</t>
  </si>
  <si>
    <t>จำนวนวัน: 30 / 60 / 90</t>
  </si>
  <si>
    <t>ต้นเงิน (ยอดค่าสินค้า/รถ) → CF Segment O2 (Operating)</t>
  </si>
  <si>
    <t>อัตราดอกเบี้ยต่อปี เช่น 2.5 = 2.5% ต่อปี</t>
  </si>
  <si>
    <t>⚙ คำนวณอัตโนมัติ = ต้นเงิน × อัตรา% × วัน/365</t>
  </si>
  <si>
    <t>⚙ คำนวณอัตโนมัติ = ต้นเงิน + ดอกเบี้ย</t>
  </si>
  <si>
    <t>รหัสบัญชีธนาคาร เช่น BA-002 = กสิกร HMW</t>
  </si>
  <si>
    <t>outstanding = ยังไม่ชำระ | paid = ชำระแล้ว</t>
  </si>
  <si>
    <t>กรอกเมื่อ Status = paid เท่านั้น (YYYY-MM-DD)</t>
  </si>
  <si>
    <t>⚙ ค่าคงที่ O2 — ต้นทุน Inventory (Operating Activity)</t>
  </si>
  <si>
    <t>⚙ ค่าคงที่ F1 — ดอกเบี้ยจ่าย (Financing Activity) ตาม TAS 7</t>
  </si>
  <si>
    <t>หมายเหตุเพิ่มเติม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</si>
</sst>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wrapText="1"/>
    </xf>
    <xf numFmtId="0" fontId="1" fillId="3" borderId="0" xfId="0" applyFont="1" applyFill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3" fontId="1" fillId="2" borderId="0" xfId="0" applyNumberFormat="1" applyFont="1" applyFill="1" applyAlignment="1">
      <alignment horizontal="center"/>
    </xf>
    <xf numFmtId="3" fontId="4" fillId="0" borderId="0" xfId="0" applyNumberFormat="1" applyFont="1"/>
    <xf numFmtId="3" fontId="5" fillId="0" borderId="0" xfId="0" applyNumberFormat="1" applyFont="1"/>
    <xf numFmtId="3" fontId="0" fillId="0" borderId="0" xfId="0" applyNumberFormat="1"/>
    <xf numFmtId="3" fontId="2" fillId="3" borderId="0" xfId="0" applyNumberFormat="1" applyFont="1" applyFill="1"/>
    <xf numFmtId="2" fontId="1" fillId="2" borderId="0" xfId="0" applyNumberFormat="1" applyFont="1" applyFill="1" applyAlignment="1">
      <alignment horizontal="center"/>
    </xf>
    <xf numFmtId="2" fontId="4" fillId="0" borderId="0" xfId="0" applyNumberFormat="1" applyFont="1"/>
    <xf numFmtId="2" fontId="5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020C-C0D9-4817-B1E7-191FA75D5309}">
  <dimension ref="A1:B18"/>
  <sheetViews>
    <sheetView tabSelected="1" workbookViewId="0">
      <selection sqref="A1:B1"/>
    </sheetView>
  </sheetViews>
  <sheetFormatPr defaultRowHeight="14.5" x14ac:dyDescent="0.35"/>
  <cols>
    <col min="1" max="1" width="20.6328125" customWidth="1"/>
    <col min="2" max="2" width="58.6328125" customWidth="1"/>
  </cols>
  <sheetData>
    <row r="1" spans="1:2" ht="15.5" x14ac:dyDescent="0.35">
      <c r="A1" s="7" t="s">
        <v>28</v>
      </c>
      <c r="B1" s="8"/>
    </row>
    <row r="3" spans="1:2" ht="18" customHeight="1" x14ac:dyDescent="0.35">
      <c r="A3" s="1" t="s">
        <v>0</v>
      </c>
      <c r="B3" s="4" t="s">
        <v>29</v>
      </c>
    </row>
    <row r="4" spans="1:2" ht="18" customHeight="1" x14ac:dyDescent="0.35">
      <c r="A4" s="1" t="s">
        <v>1</v>
      </c>
      <c r="B4" s="4" t="s">
        <v>30</v>
      </c>
    </row>
    <row r="5" spans="1:2" ht="18" customHeight="1" x14ac:dyDescent="0.35">
      <c r="A5" s="1" t="s">
        <v>2</v>
      </c>
      <c r="B5" s="4" t="s">
        <v>31</v>
      </c>
    </row>
    <row r="6" spans="1:2" ht="18" customHeight="1" x14ac:dyDescent="0.35">
      <c r="A6" s="1" t="s">
        <v>3</v>
      </c>
      <c r="B6" s="4" t="s">
        <v>32</v>
      </c>
    </row>
    <row r="7" spans="1:2" ht="18" customHeight="1" x14ac:dyDescent="0.35">
      <c r="A7" s="1" t="s">
        <v>4</v>
      </c>
      <c r="B7" s="4" t="s">
        <v>33</v>
      </c>
    </row>
    <row r="8" spans="1:2" ht="18" customHeight="1" x14ac:dyDescent="0.35">
      <c r="A8" s="1" t="s">
        <v>5</v>
      </c>
      <c r="B8" s="4" t="s">
        <v>34</v>
      </c>
    </row>
    <row r="9" spans="1:2" ht="18" customHeight="1" x14ac:dyDescent="0.35">
      <c r="A9" s="1" t="s">
        <v>6</v>
      </c>
      <c r="B9" s="4" t="s">
        <v>35</v>
      </c>
    </row>
    <row r="10" spans="1:2" ht="18" customHeight="1" x14ac:dyDescent="0.35">
      <c r="A10" s="1" t="s">
        <v>7</v>
      </c>
      <c r="B10" s="4" t="s">
        <v>36</v>
      </c>
    </row>
    <row r="11" spans="1:2" ht="18" customHeight="1" x14ac:dyDescent="0.35">
      <c r="A11" s="5" t="s">
        <v>8</v>
      </c>
      <c r="B11" s="6" t="s">
        <v>37</v>
      </c>
    </row>
    <row r="12" spans="1:2" ht="18" customHeight="1" x14ac:dyDescent="0.35">
      <c r="A12" s="5" t="s">
        <v>9</v>
      </c>
      <c r="B12" s="6" t="s">
        <v>38</v>
      </c>
    </row>
    <row r="13" spans="1:2" ht="18" customHeight="1" x14ac:dyDescent="0.35">
      <c r="A13" s="1" t="s">
        <v>10</v>
      </c>
      <c r="B13" s="4" t="s">
        <v>39</v>
      </c>
    </row>
    <row r="14" spans="1:2" ht="18" customHeight="1" x14ac:dyDescent="0.35">
      <c r="A14" s="1" t="s">
        <v>11</v>
      </c>
      <c r="B14" s="4" t="s">
        <v>40</v>
      </c>
    </row>
    <row r="15" spans="1:2" ht="18" customHeight="1" x14ac:dyDescent="0.35">
      <c r="A15" s="1" t="s">
        <v>12</v>
      </c>
      <c r="B15" s="4" t="s">
        <v>41</v>
      </c>
    </row>
    <row r="16" spans="1:2" ht="18" customHeight="1" x14ac:dyDescent="0.35">
      <c r="A16" s="5" t="s">
        <v>13</v>
      </c>
      <c r="B16" s="6" t="s">
        <v>42</v>
      </c>
    </row>
    <row r="17" spans="1:2" ht="18" customHeight="1" x14ac:dyDescent="0.35">
      <c r="A17" s="5" t="s">
        <v>14</v>
      </c>
      <c r="B17" s="6" t="s">
        <v>43</v>
      </c>
    </row>
    <row r="18" spans="1:2" ht="18" customHeight="1" x14ac:dyDescent="0.35">
      <c r="A18" s="1" t="s">
        <v>15</v>
      </c>
      <c r="B18" s="4" t="s">
        <v>44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A109-1800-487A-B61B-9D8BD2960CBE}">
  <dimension ref="A1:P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2.6328125" customWidth="1"/>
    <col min="2" max="2" width="8.6328125" customWidth="1"/>
    <col min="3" max="3" width="30.6328125" customWidth="1"/>
    <col min="4" max="5" width="14.6328125" customWidth="1"/>
    <col min="6" max="6" width="10.6328125" customWidth="1"/>
    <col min="7" max="7" width="16.6328125" style="15" customWidth="1"/>
    <col min="8" max="8" width="16.6328125" style="20" customWidth="1"/>
    <col min="9" max="10" width="16.6328125" style="15" customWidth="1"/>
    <col min="11" max="13" width="14.6328125" customWidth="1"/>
    <col min="14" max="15" width="12.6328125" customWidth="1"/>
    <col min="16" max="16" width="22.6328125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6</v>
      </c>
      <c r="H1" s="17" t="s">
        <v>7</v>
      </c>
      <c r="I1" s="12" t="s">
        <v>8</v>
      </c>
      <c r="J1" s="1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9" t="s">
        <v>16</v>
      </c>
      <c r="B2" s="9" t="s">
        <v>17</v>
      </c>
      <c r="C2" s="9" t="s">
        <v>18</v>
      </c>
      <c r="D2" s="10">
        <v>46052</v>
      </c>
      <c r="E2" s="10">
        <v>46142</v>
      </c>
      <c r="F2" s="9">
        <v>90</v>
      </c>
      <c r="G2" s="13">
        <v>12500000</v>
      </c>
      <c r="H2" s="18">
        <v>2.5</v>
      </c>
      <c r="I2" s="16">
        <f>ROUND(G2*H2/100*F2/365,0)</f>
        <v>77055</v>
      </c>
      <c r="J2" s="16">
        <f>G2+I2</f>
        <v>12577055</v>
      </c>
      <c r="K2" s="9" t="s">
        <v>19</v>
      </c>
      <c r="L2" s="9" t="s">
        <v>20</v>
      </c>
      <c r="M2" s="9"/>
      <c r="N2" s="3" t="s">
        <v>21</v>
      </c>
      <c r="O2" s="3" t="s">
        <v>22</v>
      </c>
      <c r="P2" s="9" t="s">
        <v>23</v>
      </c>
    </row>
    <row r="3" spans="1:16" x14ac:dyDescent="0.35">
      <c r="A3" s="9" t="s">
        <v>24</v>
      </c>
      <c r="B3" s="9" t="s">
        <v>17</v>
      </c>
      <c r="C3" s="9" t="s">
        <v>25</v>
      </c>
      <c r="D3" s="10">
        <v>46047</v>
      </c>
      <c r="E3" s="10">
        <v>46137</v>
      </c>
      <c r="F3" s="9">
        <v>90</v>
      </c>
      <c r="G3" s="13">
        <v>8400000</v>
      </c>
      <c r="H3" s="18">
        <v>2.5</v>
      </c>
      <c r="I3" s="16">
        <f>ROUND(G3*H3/100*F3/365,0)</f>
        <v>51781</v>
      </c>
      <c r="J3" s="16">
        <f>G3+I3</f>
        <v>8451781</v>
      </c>
      <c r="K3" s="9" t="s">
        <v>19</v>
      </c>
      <c r="L3" s="9" t="s">
        <v>20</v>
      </c>
      <c r="M3" s="9"/>
      <c r="N3" s="3" t="s">
        <v>21</v>
      </c>
      <c r="O3" s="3" t="s">
        <v>22</v>
      </c>
      <c r="P3" s="9" t="s">
        <v>23</v>
      </c>
    </row>
    <row r="4" spans="1:16" x14ac:dyDescent="0.35">
      <c r="A4" s="9" t="s">
        <v>26</v>
      </c>
      <c r="B4" s="9" t="s">
        <v>17</v>
      </c>
      <c r="C4" s="9" t="s">
        <v>18</v>
      </c>
      <c r="D4" s="10">
        <v>46006</v>
      </c>
      <c r="E4" s="10">
        <v>46096</v>
      </c>
      <c r="F4" s="9">
        <v>90</v>
      </c>
      <c r="G4" s="13">
        <v>6200000</v>
      </c>
      <c r="H4" s="18">
        <v>2.5</v>
      </c>
      <c r="I4" s="16">
        <f>ROUND(G4*H4/100*F4/365,0)</f>
        <v>38219</v>
      </c>
      <c r="J4" s="16">
        <f>G4+I4</f>
        <v>6238219</v>
      </c>
      <c r="K4" s="9" t="s">
        <v>19</v>
      </c>
      <c r="L4" s="9" t="s">
        <v>27</v>
      </c>
      <c r="M4" s="10">
        <v>46096</v>
      </c>
      <c r="N4" s="3" t="s">
        <v>21</v>
      </c>
      <c r="O4" s="3" t="s">
        <v>22</v>
      </c>
      <c r="P4" s="9"/>
    </row>
    <row r="5" spans="1:16" x14ac:dyDescent="0.35">
      <c r="A5" s="11"/>
      <c r="B5" s="11"/>
      <c r="C5" s="11"/>
      <c r="D5" s="11"/>
      <c r="E5" s="11"/>
      <c r="F5" s="11"/>
      <c r="G5" s="14"/>
      <c r="H5" s="19"/>
      <c r="K5" s="11"/>
      <c r="L5" s="11"/>
      <c r="M5" s="11"/>
      <c r="P5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คำอธิบาย</vt:lpstr>
      <vt:lpstr>PN_Input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PONGPANOTYOD Buathong</dc:creator>
  <cp:lastModifiedBy>PONGPANOTYOD Buathong</cp:lastModifiedBy>
  <dcterms:created xsi:type="dcterms:W3CDTF">2026-06-05T08:04:00Z</dcterms:created>
  <dcterms:modified xsi:type="dcterms:W3CDTF">2026-06-05T08:10:11Z</dcterms:modified>
</cp:coreProperties>
</file>