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Paper" sheetId="1" state="visible" r:id="rId1"/>
    <sheet name="CF Summary (WC)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);(#,##0.00);&quot;-&quot;"/>
    <numFmt numFmtId="165" formatCode="+#,##0.00;(#,##0.00);&quot;-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7F7F7F"/>
      <sz val="8"/>
    </font>
    <font>
      <name val="Arial"/>
      <i val="1"/>
      <color rgb="000000FF"/>
      <sz val="8"/>
    </font>
    <font>
      <name val="Arial"/>
      <color rgb="00000000"/>
      <sz val="9"/>
    </font>
    <font>
      <name val="Arial"/>
      <color rgb="000000FF"/>
      <sz val="9"/>
    </font>
    <font>
      <name val="Arial"/>
      <color rgb="00006100"/>
      <sz val="9"/>
    </font>
    <font>
      <name val="Arial"/>
      <b val="1"/>
      <color rgb="00000000"/>
      <sz val="9"/>
    </font>
    <font>
      <name val="Arial"/>
      <b val="1"/>
      <color rgb="007B3F00"/>
      <sz val="9"/>
    </font>
    <font>
      <name val="Arial"/>
      <i val="1"/>
      <color rgb="007F7F7F"/>
      <sz val="9"/>
    </font>
    <font>
      <name val="Arial"/>
      <b val="1"/>
      <color rgb="00FFFFFF"/>
      <sz val="12"/>
    </font>
    <font>
      <name val="Arial"/>
      <i val="1"/>
      <color rgb="005A5A5A"/>
      <sz val="9"/>
    </font>
    <font>
      <name val="Arial"/>
      <b val="1"/>
      <color rgb="00000000"/>
      <sz val="10"/>
    </font>
    <font>
      <name val="Arial"/>
      <i val="1"/>
      <color rgb="00444444"/>
      <sz val="8"/>
    </font>
    <font>
      <name val="Arial"/>
      <color rgb="00000000"/>
      <sz val="10"/>
    </font>
    <font>
      <name val="Arial"/>
      <color rgb="007B3F00"/>
      <sz val="9"/>
    </font>
    <font>
      <name val="Arial"/>
      <color rgb="00CC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5CC"/>
      </patternFill>
    </fill>
    <fill>
      <patternFill patternType="solid">
        <fgColor rgb="00FFE699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1" pivotButton="0" quotePrefix="0" xfId="0"/>
    <xf numFmtId="0" fontId="7" fillId="7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5" fontId="0" fillId="10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left" vertical="center"/>
    </xf>
    <xf numFmtId="49" fontId="12" fillId="7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left" vertical="center"/>
    </xf>
    <xf numFmtId="165" fontId="15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8" customWidth="1" min="10" max="10"/>
    <col width="40" customWidth="1" min="11" max="11"/>
  </cols>
  <sheetData>
    <row r="1" ht="22" customHeight="1">
      <c r="A1" s="1" t="inlineStr">
        <is>
          <t>WORKING PAPER — Working Capital &amp; Balance Sheet Movement</t>
        </is>
      </c>
    </row>
    <row r="2" ht="16" customHeight="1">
      <c r="A2" s="2" t="inlineStr">
        <is>
          <t>Period: [กรอกงวด]     Company: Consolidated (CONSO)     Prepared by: ___________     Date: ___________</t>
        </is>
      </c>
    </row>
    <row r="3" ht="32" customHeight="1">
      <c r="A3" s="3" t="inlineStr">
        <is>
          <t>#</t>
        </is>
      </c>
      <c r="B3" s="3" t="inlineStr">
        <is>
          <t>Account No.</t>
        </is>
      </c>
      <c r="C3" s="3" t="inlineStr">
        <is>
          <t>Account Name</t>
        </is>
      </c>
      <c r="D3" s="3" t="inlineStr">
        <is>
          <t>FS Caption</t>
        </is>
      </c>
      <c r="E3" s="3" t="inlineStr">
        <is>
          <t>Opening Balance
(กรอกต้นงวด)</t>
        </is>
      </c>
      <c r="F3" s="3" t="inlineStr">
        <is>
          <t>Closing Balance
(จาก TB)</t>
        </is>
      </c>
      <c r="G3" s="3" t="inlineStr">
        <is>
          <t>Change
(Closing-Opening)</t>
        </is>
      </c>
      <c r="H3" s="3" t="inlineStr">
        <is>
          <t>CF Impact
(ผลต่อ CF)</t>
        </is>
      </c>
      <c r="I3" s="3" t="inlineStr">
        <is>
          <t>CF Activity</t>
        </is>
      </c>
      <c r="J3" s="3" t="inlineStr">
        <is>
          <t>IC?</t>
        </is>
      </c>
      <c r="K3" s="3" t="inlineStr">
        <is>
          <t>Note / Reference</t>
        </is>
      </c>
    </row>
    <row r="4" ht="18" customHeight="1">
      <c r="A4" s="4" t="inlineStr">
        <is>
          <t>1. ลูกหนี้การค้า (Accounts Receivable)</t>
        </is>
      </c>
    </row>
    <row r="5" ht="14" customHeight="1">
      <c r="A5" s="5" t="inlineStr">
        <is>
          <t xml:space="preserve">   Logic: AR เพิ่ม = ใช้เงินสด = CF ลบ  |  AR ลด = เก็บเงินได้ = CF บวก   |   Activity: Operating</t>
        </is>
      </c>
    </row>
    <row r="6" ht="13" customHeight="1">
      <c r="A6" s="6" t="inlineStr"/>
      <c r="B6" s="6" t="inlineStr"/>
      <c r="C6" s="6" t="inlineStr">
        <is>
          <t>Intercompany accounts highlighted in yellow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 ht="15" customHeight="1">
      <c r="A7" s="7" t="inlineStr"/>
      <c r="B7" s="7" t="inlineStr">
        <is>
          <t>11121010</t>
        </is>
      </c>
      <c r="C7" s="7" t="inlineStr">
        <is>
          <t>ลูกหนี้การค้า-กิจการที่ไม่เกี่ยวข้องกัน</t>
        </is>
      </c>
      <c r="D7" s="7" t="inlineStr">
        <is>
          <t>ลูกหนี้การค้า</t>
        </is>
      </c>
      <c r="E7" s="8" t="n"/>
      <c r="F7" s="9" t="n">
        <v>21637.3177</v>
      </c>
      <c r="G7" s="10">
        <f>F7-E7</f>
        <v/>
      </c>
      <c r="H7" s="11">
        <f>-G7</f>
        <v/>
      </c>
      <c r="I7" s="7" t="inlineStr">
        <is>
          <t>Operating</t>
        </is>
      </c>
      <c r="J7" s="7" t="inlineStr"/>
      <c r="K7" s="7" t="inlineStr"/>
    </row>
    <row r="8" ht="15" customHeight="1">
      <c r="A8" s="7" t="inlineStr"/>
      <c r="B8" s="7" t="inlineStr">
        <is>
          <t>11121011</t>
        </is>
      </c>
      <c r="C8" s="7" t="inlineStr">
        <is>
          <t>ลูกหนี้การค้า-ไฟแนนซ์</t>
        </is>
      </c>
      <c r="D8" s="7" t="inlineStr">
        <is>
          <t>ลูกหนี้การค้า</t>
        </is>
      </c>
      <c r="E8" s="8" t="n"/>
      <c r="F8" s="9" t="n">
        <v>31829.2445</v>
      </c>
      <c r="G8" s="10">
        <f>F8-E8</f>
        <v/>
      </c>
      <c r="H8" s="11">
        <f>-G8</f>
        <v/>
      </c>
      <c r="I8" s="7" t="inlineStr">
        <is>
          <t>Operating</t>
        </is>
      </c>
      <c r="J8" s="7" t="inlineStr"/>
      <c r="K8" s="7" t="inlineStr"/>
    </row>
    <row r="9" ht="15" customHeight="1">
      <c r="A9" s="7" t="inlineStr"/>
      <c r="B9" s="7" t="inlineStr">
        <is>
          <t>11121012</t>
        </is>
      </c>
      <c r="C9" s="7" t="inlineStr">
        <is>
          <t>ลูกหนี้การค้า-ประกันภัย</t>
        </is>
      </c>
      <c r="D9" s="7" t="inlineStr">
        <is>
          <t>ลูกหนี้การค้า</t>
        </is>
      </c>
      <c r="E9" s="8" t="n"/>
      <c r="F9" s="9" t="n">
        <v>149328.9947</v>
      </c>
      <c r="G9" s="10">
        <f>F9-E9</f>
        <v/>
      </c>
      <c r="H9" s="11">
        <f>-G9</f>
        <v/>
      </c>
      <c r="I9" s="7" t="inlineStr">
        <is>
          <t>Operating</t>
        </is>
      </c>
      <c r="J9" s="7" t="inlineStr"/>
      <c r="K9" s="7" t="inlineStr"/>
    </row>
    <row r="10" ht="15" customHeight="1">
      <c r="A10" s="7" t="inlineStr"/>
      <c r="B10" s="7" t="inlineStr">
        <is>
          <t>11121013</t>
        </is>
      </c>
      <c r="C10" s="7" t="inlineStr">
        <is>
          <t>ลูกหนี้การค้า-รถเช่า</t>
        </is>
      </c>
      <c r="D10" s="7" t="inlineStr">
        <is>
          <t>ลูกหนี้การค้า</t>
        </is>
      </c>
      <c r="E10" s="8" t="n"/>
      <c r="F10" s="9" t="n">
        <v>3953.1866</v>
      </c>
      <c r="G10" s="10">
        <f>F10-E10</f>
        <v/>
      </c>
      <c r="H10" s="11">
        <f>-G10</f>
        <v/>
      </c>
      <c r="I10" s="7" t="inlineStr">
        <is>
          <t>Operating</t>
        </is>
      </c>
      <c r="J10" s="7" t="inlineStr"/>
      <c r="K10" s="7" t="inlineStr"/>
    </row>
    <row r="11" ht="15" customHeight="1">
      <c r="A11" s="7" t="inlineStr"/>
      <c r="B11" s="7" t="inlineStr">
        <is>
          <t>11121014</t>
        </is>
      </c>
      <c r="C11" s="7" t="inlineStr">
        <is>
          <t>ลูกหนี้การค้า-คอเปอร์เรท</t>
        </is>
      </c>
      <c r="D11" s="7" t="inlineStr">
        <is>
          <t>ลูกหนี้การค้า</t>
        </is>
      </c>
      <c r="E11" s="8" t="n"/>
      <c r="F11" s="9" t="n">
        <v>0</v>
      </c>
      <c r="G11" s="10">
        <f>F11-E11</f>
        <v/>
      </c>
      <c r="H11" s="11">
        <f>-G11</f>
        <v/>
      </c>
      <c r="I11" s="7" t="inlineStr">
        <is>
          <t>Operating</t>
        </is>
      </c>
      <c r="J11" s="7" t="inlineStr"/>
      <c r="K11" s="7" t="inlineStr"/>
    </row>
    <row r="12" ht="15" customHeight="1">
      <c r="A12" s="7" t="inlineStr"/>
      <c r="B12" s="7" t="inlineStr">
        <is>
          <t>11121020</t>
        </is>
      </c>
      <c r="C12" s="7" t="inlineStr">
        <is>
          <t>ลูกหนี้การค้า-ฮอนด้า ออโต้โมบิล</t>
        </is>
      </c>
      <c r="D12" s="7" t="inlineStr">
        <is>
          <t>ลูกหนี้การค้า</t>
        </is>
      </c>
      <c r="E12" s="8" t="n"/>
      <c r="F12" s="9" t="n">
        <v>37301.6301</v>
      </c>
      <c r="G12" s="10">
        <f>F12-E12</f>
        <v/>
      </c>
      <c r="H12" s="11">
        <f>-G12</f>
        <v/>
      </c>
      <c r="I12" s="7" t="inlineStr">
        <is>
          <t>Operating</t>
        </is>
      </c>
      <c r="J12" s="7" t="inlineStr"/>
      <c r="K12" s="7" t="inlineStr"/>
    </row>
    <row r="13" ht="15" customHeight="1">
      <c r="A13" s="7" t="inlineStr"/>
      <c r="B13" s="7" t="inlineStr">
        <is>
          <t>11121099</t>
        </is>
      </c>
      <c r="C13" s="7" t="inlineStr">
        <is>
          <t>ค่าเผื่อหนี้สงสัยจะสูญ</t>
        </is>
      </c>
      <c r="D13" s="7" t="inlineStr">
        <is>
          <t>ลูกหนี้การค้า</t>
        </is>
      </c>
      <c r="E13" s="8" t="n"/>
      <c r="F13" s="9" t="n">
        <v>-29536.02960000001</v>
      </c>
      <c r="G13" s="10">
        <f>F13-E13</f>
        <v/>
      </c>
      <c r="H13" s="11">
        <f>-G13</f>
        <v/>
      </c>
      <c r="I13" s="7" t="inlineStr">
        <is>
          <t>Operating</t>
        </is>
      </c>
      <c r="J13" s="7" t="inlineStr"/>
      <c r="K13" s="7" t="inlineStr"/>
    </row>
    <row r="14" ht="16" customHeight="1">
      <c r="A14" s="12" t="inlineStr"/>
      <c r="B14" s="12" t="inlineStr"/>
      <c r="C14" s="12" t="inlineStr">
        <is>
          <t>รวม 1. ลูกหนี้การค้า (Accounts Receivable)</t>
        </is>
      </c>
      <c r="D14" s="12" t="inlineStr"/>
      <c r="E14" s="13">
        <f>SUM(E7:E13)</f>
        <v/>
      </c>
      <c r="F14" s="13">
        <f>SUM(F7:F13)</f>
        <v/>
      </c>
      <c r="G14" s="13">
        <f>SUM(G7:G13)</f>
        <v/>
      </c>
      <c r="H14" s="14">
        <f>SUM(H7:H13)</f>
        <v/>
      </c>
      <c r="I14" s="12" t="inlineStr">
        <is>
          <t>Operating</t>
        </is>
      </c>
      <c r="J14" s="12" t="inlineStr"/>
      <c r="K14" s="12" t="inlineStr"/>
    </row>
    <row r="16" ht="18" customHeight="1">
      <c r="A16" s="4" t="inlineStr">
        <is>
          <t>2. ลูกหนี้หมุนเวียนอื่น (Other Current Receivables)</t>
        </is>
      </c>
    </row>
    <row r="17" ht="14" customHeight="1">
      <c r="A17" s="5" t="inlineStr">
        <is>
          <t xml:space="preserve">   Logic: เพิ่ม = CF ลบ   |   Activity: Operating</t>
        </is>
      </c>
    </row>
    <row r="18" ht="13" customHeight="1">
      <c r="A18" s="6" t="inlineStr"/>
      <c r="B18" s="6" t="inlineStr"/>
      <c r="C18" s="6" t="inlineStr">
        <is>
          <t>Intercompany accounts highlighted in yellow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15" customHeight="1">
      <c r="A19" s="7" t="inlineStr"/>
      <c r="B19" s="7" t="inlineStr">
        <is>
          <t>11141010</t>
        </is>
      </c>
      <c r="C19" s="7" t="inlineStr">
        <is>
          <t>ลูกหนี้เงินทดรอง-พนักงาน</t>
        </is>
      </c>
      <c r="D19" s="7" t="inlineStr">
        <is>
          <t>ลูกหนี้หมุนเวียนอื่น</t>
        </is>
      </c>
      <c r="E19" s="8" t="n"/>
      <c r="F19" s="9" t="n">
        <v>2155.94</v>
      </c>
      <c r="G19" s="10">
        <f>F19-E19</f>
        <v/>
      </c>
      <c r="H19" s="11">
        <f>-G19</f>
        <v/>
      </c>
      <c r="I19" s="7" t="inlineStr">
        <is>
          <t>Operating</t>
        </is>
      </c>
      <c r="J19" s="7" t="inlineStr"/>
      <c r="K19" s="7" t="inlineStr"/>
    </row>
    <row r="20" ht="15" customHeight="1">
      <c r="A20" s="7" t="inlineStr"/>
      <c r="B20" s="7" t="inlineStr">
        <is>
          <t>11151010</t>
        </is>
      </c>
      <c r="C20" s="7" t="inlineStr">
        <is>
          <t>ลูกหนี้อื่น</t>
        </is>
      </c>
      <c r="D20" s="7" t="inlineStr">
        <is>
          <t>ลูกหนี้หมุนเวียนอื่น</t>
        </is>
      </c>
      <c r="E20" s="8" t="n"/>
      <c r="F20" s="9" t="n">
        <v>7484.820599999999</v>
      </c>
      <c r="G20" s="10">
        <f>F20-E20</f>
        <v/>
      </c>
      <c r="H20" s="11">
        <f>-G20</f>
        <v/>
      </c>
      <c r="I20" s="7" t="inlineStr">
        <is>
          <t>Operating</t>
        </is>
      </c>
      <c r="J20" s="7" t="inlineStr"/>
      <c r="K20" s="7" t="inlineStr"/>
    </row>
    <row r="21" ht="15" customHeight="1">
      <c r="A21" s="7" t="inlineStr"/>
      <c r="B21" s="7" t="inlineStr">
        <is>
          <t>11151035</t>
        </is>
      </c>
      <c r="C21" s="7" t="inlineStr">
        <is>
          <t>ลูกหนี้เงิน-พนักงาน</t>
        </is>
      </c>
      <c r="D21" s="7" t="inlineStr">
        <is>
          <t>ลูกหนี้หมุนเวียนอื่น</t>
        </is>
      </c>
      <c r="E21" s="8" t="n"/>
      <c r="F21" s="9" t="n">
        <v>46.13189999999999</v>
      </c>
      <c r="G21" s="10">
        <f>F21-E21</f>
        <v/>
      </c>
      <c r="H21" s="11">
        <f>-G21</f>
        <v/>
      </c>
      <c r="I21" s="7" t="inlineStr">
        <is>
          <t>Operating</t>
        </is>
      </c>
      <c r="J21" s="7" t="inlineStr"/>
      <c r="K21" s="7" t="inlineStr"/>
    </row>
    <row r="22" ht="15" customHeight="1">
      <c r="A22" s="7" t="inlineStr"/>
      <c r="B22" s="7" t="inlineStr">
        <is>
          <t>11151011</t>
        </is>
      </c>
      <c r="C22" s="7" t="inlineStr">
        <is>
          <t>ค่าใช้จ่ายจ่ายล่วงหน้า</t>
        </is>
      </c>
      <c r="D22" s="7" t="inlineStr">
        <is>
          <t>ลูกหนี้หมุนเวียนอื่น</t>
        </is>
      </c>
      <c r="E22" s="8" t="n"/>
      <c r="F22" s="9" t="n">
        <v>38542.02945901032</v>
      </c>
      <c r="G22" s="10">
        <f>F22-E22</f>
        <v/>
      </c>
      <c r="H22" s="11">
        <f>-G22</f>
        <v/>
      </c>
      <c r="I22" s="7" t="inlineStr">
        <is>
          <t>Operating</t>
        </is>
      </c>
      <c r="J22" s="7" t="inlineStr"/>
      <c r="K22" s="7" t="inlineStr"/>
    </row>
    <row r="23" ht="15" customHeight="1">
      <c r="A23" s="7" t="inlineStr"/>
      <c r="B23" s="7" t="inlineStr">
        <is>
          <t>11151015</t>
        </is>
      </c>
      <c r="C23" s="7" t="inlineStr">
        <is>
          <t>ภาษีเงินได้ถูกหัก ณ ที่จ่าย</t>
        </is>
      </c>
      <c r="D23" s="7" t="inlineStr">
        <is>
          <t>สินทรัพย์ภาษีเงินได้ของงวดปัจจุบัน</t>
        </is>
      </c>
      <c r="E23" s="8" t="n"/>
      <c r="F23" s="9" t="n">
        <v>6404.373900000001</v>
      </c>
      <c r="G23" s="10">
        <f>F23-E23</f>
        <v/>
      </c>
      <c r="H23" s="11">
        <f>-G23</f>
        <v/>
      </c>
      <c r="I23" s="7" t="inlineStr">
        <is>
          <t>Operating</t>
        </is>
      </c>
      <c r="J23" s="7" t="inlineStr"/>
      <c r="K23" s="7" t="inlineStr"/>
    </row>
    <row r="24" ht="15" customHeight="1">
      <c r="A24" s="7" t="inlineStr"/>
      <c r="B24" s="7" t="inlineStr">
        <is>
          <t>11151017</t>
        </is>
      </c>
      <c r="C24" s="7" t="inlineStr">
        <is>
          <t>รายได้ค้างรับ-ค่านายหน้าไฟแนนซ์</t>
        </is>
      </c>
      <c r="D24" s="7" t="inlineStr">
        <is>
          <t>ลูกหนี้หมุนเวียนอื่น</t>
        </is>
      </c>
      <c r="E24" s="8" t="n"/>
      <c r="F24" s="9" t="n">
        <v>1258.1504</v>
      </c>
      <c r="G24" s="10">
        <f>F24-E24</f>
        <v/>
      </c>
      <c r="H24" s="11">
        <f>-G24</f>
        <v/>
      </c>
      <c r="I24" s="7" t="inlineStr">
        <is>
          <t>Operating</t>
        </is>
      </c>
      <c r="J24" s="7" t="inlineStr"/>
      <c r="K24" s="7" t="inlineStr"/>
    </row>
    <row r="25" ht="15" customHeight="1">
      <c r="A25" s="7" t="inlineStr"/>
      <c r="B25" s="7" t="inlineStr">
        <is>
          <t>11151018</t>
        </is>
      </c>
      <c r="C25" s="7" t="inlineStr">
        <is>
          <t>รายได้ค้างรับ-ค่านายหน้าประกันภัย</t>
        </is>
      </c>
      <c r="D25" s="7" t="inlineStr">
        <is>
          <t>ลูกหนี้หมุนเวียนอื่น</t>
        </is>
      </c>
      <c r="E25" s="8" t="n"/>
      <c r="F25" s="9" t="n">
        <v>3348.561200000001</v>
      </c>
      <c r="G25" s="10">
        <f>F25-E25</f>
        <v/>
      </c>
      <c r="H25" s="11">
        <f>-G25</f>
        <v/>
      </c>
      <c r="I25" s="7" t="inlineStr">
        <is>
          <t>Operating</t>
        </is>
      </c>
      <c r="J25" s="7" t="inlineStr"/>
      <c r="K25" s="7" t="inlineStr"/>
    </row>
    <row r="26" ht="15" customHeight="1">
      <c r="A26" s="7" t="inlineStr"/>
      <c r="B26" s="7" t="inlineStr">
        <is>
          <t>11151019</t>
        </is>
      </c>
      <c r="C26" s="7" t="inlineStr">
        <is>
          <t>รายได้ค้างรับ-ค่าแรงเคลมฮอนด้า</t>
        </is>
      </c>
      <c r="D26" s="7" t="inlineStr">
        <is>
          <t>ลูกหนี้หมุนเวียนอื่น</t>
        </is>
      </c>
      <c r="E26" s="8" t="n"/>
      <c r="F26" s="9" t="n">
        <v>1835.9</v>
      </c>
      <c r="G26" s="10">
        <f>F26-E26</f>
        <v/>
      </c>
      <c r="H26" s="11">
        <f>-G26</f>
        <v/>
      </c>
      <c r="I26" s="7" t="inlineStr">
        <is>
          <t>Operating</t>
        </is>
      </c>
      <c r="J26" s="7" t="inlineStr"/>
      <c r="K26" s="7" t="inlineStr"/>
    </row>
    <row r="27" ht="15" customHeight="1">
      <c r="A27" s="7" t="inlineStr"/>
      <c r="B27" s="7" t="inlineStr">
        <is>
          <t>11151020</t>
        </is>
      </c>
      <c r="C27" s="7" t="inlineStr">
        <is>
          <t>รายได้ค้างรับ-อะไหล่เคลมฮอนด้า</t>
        </is>
      </c>
      <c r="D27" s="7" t="inlineStr">
        <is>
          <t>ลูกหนี้หมุนเวียนอื่น</t>
        </is>
      </c>
      <c r="E27" s="8" t="n"/>
      <c r="F27" s="9" t="n">
        <v>16800.9058</v>
      </c>
      <c r="G27" s="10">
        <f>F27-E27</f>
        <v/>
      </c>
      <c r="H27" s="11">
        <f>-G27</f>
        <v/>
      </c>
      <c r="I27" s="7" t="inlineStr">
        <is>
          <t>Operating</t>
        </is>
      </c>
      <c r="J27" s="7" t="inlineStr"/>
      <c r="K27" s="7" t="inlineStr"/>
    </row>
    <row r="28" ht="15" customHeight="1">
      <c r="A28" s="7" t="inlineStr"/>
      <c r="B28" s="7" t="inlineStr">
        <is>
          <t>11151023</t>
        </is>
      </c>
      <c r="C28" s="7" t="inlineStr">
        <is>
          <t>รายได้ค้างรับ-รางวัลการขาย</t>
        </is>
      </c>
      <c r="D28" s="7" t="inlineStr">
        <is>
          <t>ลูกหนี้หมุนเวียนอื่น</t>
        </is>
      </c>
      <c r="E28" s="8" t="n"/>
      <c r="F28" s="9" t="n">
        <v>55906.995</v>
      </c>
      <c r="G28" s="10">
        <f>F28-E28</f>
        <v/>
      </c>
      <c r="H28" s="11">
        <f>-G28</f>
        <v/>
      </c>
      <c r="I28" s="7" t="inlineStr">
        <is>
          <t>Operating</t>
        </is>
      </c>
      <c r="J28" s="7" t="inlineStr"/>
      <c r="K28" s="7" t="inlineStr"/>
    </row>
    <row r="29" ht="15" customHeight="1">
      <c r="A29" s="7" t="inlineStr"/>
      <c r="B29" s="7" t="inlineStr">
        <is>
          <t>11151028</t>
        </is>
      </c>
      <c r="C29" s="7" t="inlineStr">
        <is>
          <t>รายได้ค้างรับ-ค่าแรงเคลม-คุณภาพ</t>
        </is>
      </c>
      <c r="D29" s="7" t="inlineStr">
        <is>
          <t>ลูกหนี้หมุนเวียนอื่น</t>
        </is>
      </c>
      <c r="E29" s="8" t="n"/>
      <c r="F29" s="9" t="n">
        <v>3951.8503</v>
      </c>
      <c r="G29" s="10">
        <f>F29-E29</f>
        <v/>
      </c>
      <c r="H29" s="11">
        <f>-G29</f>
        <v/>
      </c>
      <c r="I29" s="7" t="inlineStr">
        <is>
          <t>Operating</t>
        </is>
      </c>
      <c r="J29" s="7" t="inlineStr"/>
      <c r="K29" s="7" t="inlineStr"/>
    </row>
    <row r="30" ht="15" customHeight="1">
      <c r="A30" s="7" t="inlineStr"/>
      <c r="B30" s="7" t="inlineStr">
        <is>
          <t>11151029</t>
        </is>
      </c>
      <c r="C30" s="7" t="inlineStr">
        <is>
          <t>รายได้ค้างรับ-ค่าแรงเคลม-Exclusive</t>
        </is>
      </c>
      <c r="D30" s="7" t="inlineStr">
        <is>
          <t>ลูกหนี้หมุนเวียนอื่น</t>
        </is>
      </c>
      <c r="E30" s="8" t="n"/>
      <c r="F30" s="9" t="n">
        <v>2383.7</v>
      </c>
      <c r="G30" s="10">
        <f>F30-E30</f>
        <v/>
      </c>
      <c r="H30" s="11">
        <f>-G30</f>
        <v/>
      </c>
      <c r="I30" s="7" t="inlineStr">
        <is>
          <t>Operating</t>
        </is>
      </c>
      <c r="J30" s="7" t="inlineStr"/>
      <c r="K30" s="7" t="inlineStr"/>
    </row>
    <row r="31" ht="15" customHeight="1">
      <c r="A31" s="7" t="inlineStr"/>
      <c r="B31" s="7" t="inlineStr">
        <is>
          <t>11151030</t>
        </is>
      </c>
      <c r="C31" s="7" t="inlineStr">
        <is>
          <t>รายได้ค้างรับ-อะไหล่เคลม-Exclusive</t>
        </is>
      </c>
      <c r="D31" s="7" t="inlineStr">
        <is>
          <t>ลูกหนี้หมุนเวียนอื่น</t>
        </is>
      </c>
      <c r="E31" s="8" t="n"/>
      <c r="F31" s="9" t="n">
        <v>2906.1837</v>
      </c>
      <c r="G31" s="10">
        <f>F31-E31</f>
        <v/>
      </c>
      <c r="H31" s="11">
        <f>-G31</f>
        <v/>
      </c>
      <c r="I31" s="7" t="inlineStr">
        <is>
          <t>Operating</t>
        </is>
      </c>
      <c r="J31" s="7" t="inlineStr"/>
      <c r="K31" s="7" t="inlineStr"/>
    </row>
    <row r="32" ht="15" customHeight="1">
      <c r="A32" s="7" t="inlineStr"/>
      <c r="B32" s="7" t="inlineStr">
        <is>
          <t>11151031</t>
        </is>
      </c>
      <c r="C32" s="7" t="inlineStr">
        <is>
          <t>รายได้ค่าขนส่งค้างรับ-อะไหล่เคลมฮอนด้า</t>
        </is>
      </c>
      <c r="D32" s="7" t="inlineStr">
        <is>
          <t>ลูกหนี้หมุนเวียนอื่น</t>
        </is>
      </c>
      <c r="E32" s="8" t="n"/>
      <c r="F32" s="9" t="n">
        <v>746</v>
      </c>
      <c r="G32" s="10">
        <f>F32-E32</f>
        <v/>
      </c>
      <c r="H32" s="11">
        <f>-G32</f>
        <v/>
      </c>
      <c r="I32" s="7" t="inlineStr">
        <is>
          <t>Operating</t>
        </is>
      </c>
      <c r="J32" s="7" t="inlineStr"/>
      <c r="K32" s="7" t="inlineStr"/>
    </row>
    <row r="33" ht="15" customHeight="1">
      <c r="A33" s="7" t="inlineStr"/>
      <c r="B33" s="7" t="inlineStr">
        <is>
          <t>11151033</t>
        </is>
      </c>
      <c r="C33" s="7" t="inlineStr">
        <is>
          <t>รายได้ค้างรับ Honda - สนับสนุนแคมเปญ</t>
        </is>
      </c>
      <c r="D33" s="7" t="inlineStr">
        <is>
          <t>ลูกหนี้หมุนเวียนอื่น</t>
        </is>
      </c>
      <c r="E33" s="8" t="n"/>
      <c r="F33" s="9" t="n">
        <v>3648.9409</v>
      </c>
      <c r="G33" s="10">
        <f>F33-E33</f>
        <v/>
      </c>
      <c r="H33" s="11">
        <f>-G33</f>
        <v/>
      </c>
      <c r="I33" s="7" t="inlineStr">
        <is>
          <t>Operating</t>
        </is>
      </c>
      <c r="J33" s="7" t="inlineStr"/>
      <c r="K33" s="7" t="inlineStr"/>
    </row>
    <row r="34" ht="15" customHeight="1">
      <c r="A34" s="7" t="inlineStr"/>
      <c r="B34" s="7" t="inlineStr">
        <is>
          <t>11151037</t>
        </is>
      </c>
      <c r="C34" s="7" t="inlineStr">
        <is>
          <t>รายได้ค้างรับ-อุปกรณ์ตกแต่ง ฟิล์มเคลม-Exclusive</t>
        </is>
      </c>
      <c r="D34" s="7" t="inlineStr">
        <is>
          <t>ลูกหนี้หมุนเวียนอื่น</t>
        </is>
      </c>
      <c r="E34" s="8" t="n"/>
      <c r="F34" s="9" t="n">
        <v>0</v>
      </c>
      <c r="G34" s="10">
        <f>F34-E34</f>
        <v/>
      </c>
      <c r="H34" s="11">
        <f>-G34</f>
        <v/>
      </c>
      <c r="I34" s="7" t="inlineStr">
        <is>
          <t>Operating</t>
        </is>
      </c>
      <c r="J34" s="7" t="inlineStr"/>
      <c r="K34" s="7" t="inlineStr"/>
    </row>
    <row r="35" ht="15" customHeight="1">
      <c r="A35" s="7" t="inlineStr"/>
      <c r="B35" s="7" t="inlineStr">
        <is>
          <t>11151034</t>
        </is>
      </c>
      <c r="C35" s="7" t="inlineStr">
        <is>
          <t>ภาษีเงินได้ถูกหัก ณ ที่จ่าย (รอเอกสาร)</t>
        </is>
      </c>
      <c r="D35" s="7" t="inlineStr">
        <is>
          <t>สินทรัพย์ภาษีเงินได้ของงวดปัจจุบัน</t>
        </is>
      </c>
      <c r="E35" s="8" t="n"/>
      <c r="F35" s="9" t="n">
        <v>2269.123</v>
      </c>
      <c r="G35" s="10">
        <f>F35-E35</f>
        <v/>
      </c>
      <c r="H35" s="11">
        <f>-G35</f>
        <v/>
      </c>
      <c r="I35" s="7" t="inlineStr">
        <is>
          <t>Operating</t>
        </is>
      </c>
      <c r="J35" s="7" t="inlineStr"/>
      <c r="K35" s="7" t="inlineStr"/>
    </row>
    <row r="36" ht="15" customHeight="1">
      <c r="A36" s="7" t="inlineStr"/>
      <c r="B36" s="7" t="inlineStr">
        <is>
          <t>11151032</t>
        </is>
      </c>
      <c r="C36" s="7" t="inlineStr">
        <is>
          <t>รายได้ค้างรับ-อื่น</t>
        </is>
      </c>
      <c r="D36" s="7" t="inlineStr">
        <is>
          <t>ลูกหนี้หมุนเวียนอื่น</t>
        </is>
      </c>
      <c r="E36" s="8" t="n"/>
      <c r="F36" s="9" t="n">
        <v>802.9599000000001</v>
      </c>
      <c r="G36" s="10">
        <f>F36-E36</f>
        <v/>
      </c>
      <c r="H36" s="11">
        <f>-G36</f>
        <v/>
      </c>
      <c r="I36" s="7" t="inlineStr">
        <is>
          <t>Operating</t>
        </is>
      </c>
      <c r="J36" s="7" t="inlineStr"/>
      <c r="K36" s="7" t="inlineStr"/>
    </row>
    <row r="37" ht="15" customHeight="1">
      <c r="A37" s="7" t="inlineStr"/>
      <c r="B37" s="7" t="inlineStr">
        <is>
          <t>11151012-1</t>
        </is>
      </c>
      <c r="C37" s="7" t="inlineStr">
        <is>
          <t>ลูกหนี้กรมสรรพากร</t>
        </is>
      </c>
      <c r="D37" s="7" t="inlineStr">
        <is>
          <t>ลูกหนี้หมุนเวียนอื่น</t>
        </is>
      </c>
      <c r="E37" s="8" t="n"/>
      <c r="F37" s="9" t="n">
        <v>48554.3265</v>
      </c>
      <c r="G37" s="10">
        <f>F37-E37</f>
        <v/>
      </c>
      <c r="H37" s="11">
        <f>-G37</f>
        <v/>
      </c>
      <c r="I37" s="7" t="inlineStr">
        <is>
          <t>Operating</t>
        </is>
      </c>
      <c r="J37" s="7" t="inlineStr"/>
      <c r="K37" s="7" t="inlineStr"/>
    </row>
    <row r="38" ht="15" customHeight="1">
      <c r="A38" s="15" t="inlineStr"/>
      <c r="B38" s="15" t="inlineStr">
        <is>
          <t>11121030</t>
        </is>
      </c>
      <c r="C38" s="15" t="inlineStr">
        <is>
          <t>ลูกหนี้การค้า-กิจการที่เกี่ยวข้องกัน</t>
        </is>
      </c>
      <c r="D38" s="15" t="inlineStr">
        <is>
          <t>ลูกหนี้หมุนเวียนอื่น</t>
        </is>
      </c>
      <c r="E38" s="16" t="n"/>
      <c r="F38" s="17" t="n">
        <v>0</v>
      </c>
      <c r="G38" s="18">
        <f>F38-E38</f>
        <v/>
      </c>
      <c r="H38" s="19">
        <f>-G38</f>
        <v/>
      </c>
      <c r="I38" s="15" t="inlineStr">
        <is>
          <t>Operating</t>
        </is>
      </c>
      <c r="J38" s="20" t="inlineStr">
        <is>
          <t>IC</t>
        </is>
      </c>
      <c r="K38" s="15" t="inlineStr"/>
    </row>
    <row r="39" ht="15" customHeight="1">
      <c r="A39" s="7" t="inlineStr"/>
      <c r="B39" s="7" t="inlineStr">
        <is>
          <t>11141020</t>
        </is>
      </c>
      <c r="C39" s="7" t="inlineStr">
        <is>
          <t>ลูกหนี้เงินทดรอง-อื่น</t>
        </is>
      </c>
      <c r="D39" s="7" t="inlineStr">
        <is>
          <t>ลูกหนี้หมุนเวียนอื่น</t>
        </is>
      </c>
      <c r="E39" s="8" t="n"/>
      <c r="F39" s="9" t="n">
        <v>1.164153218269348e-12</v>
      </c>
      <c r="G39" s="10">
        <f>F39-E39</f>
        <v/>
      </c>
      <c r="H39" s="11">
        <f>-G39</f>
        <v/>
      </c>
      <c r="I39" s="7" t="inlineStr">
        <is>
          <t>Operating</t>
        </is>
      </c>
      <c r="J39" s="7" t="inlineStr"/>
      <c r="K39" s="7" t="inlineStr"/>
    </row>
    <row r="40" ht="15" customHeight="1">
      <c r="A40" s="15" t="inlineStr"/>
      <c r="B40" s="15" t="inlineStr">
        <is>
          <t>11141030</t>
        </is>
      </c>
      <c r="C40" s="15" t="inlineStr">
        <is>
          <t>ลูกหนี้เงินทดรอง-กิจการที่เกี่ยวข้องกัน</t>
        </is>
      </c>
      <c r="D40" s="15" t="inlineStr">
        <is>
          <t>ลูกหนี้หมุนเวียนอื่น</t>
        </is>
      </c>
      <c r="E40" s="16" t="n"/>
      <c r="F40" s="17" t="n">
        <v>0</v>
      </c>
      <c r="G40" s="18">
        <f>F40-E40</f>
        <v/>
      </c>
      <c r="H40" s="19">
        <f>-G40</f>
        <v/>
      </c>
      <c r="I40" s="15" t="inlineStr">
        <is>
          <t>Operating</t>
        </is>
      </c>
      <c r="J40" s="20" t="inlineStr">
        <is>
          <t>IC</t>
        </is>
      </c>
      <c r="K40" s="15" t="inlineStr"/>
    </row>
    <row r="41" ht="15" customHeight="1">
      <c r="A41" s="7" t="inlineStr"/>
      <c r="B41" s="7" t="inlineStr">
        <is>
          <t>11151021</t>
        </is>
      </c>
      <c r="C41" s="7" t="inlineStr">
        <is>
          <t>เงินปันผลค้างรับ</t>
        </is>
      </c>
      <c r="D41" s="7" t="inlineStr">
        <is>
          <t>ลูกหนี้หมุนเวียนอื่น</t>
        </is>
      </c>
      <c r="E41" s="8" t="n"/>
      <c r="F41" s="9" t="n">
        <v>0</v>
      </c>
      <c r="G41" s="10">
        <f>F41-E41</f>
        <v/>
      </c>
      <c r="H41" s="11">
        <f>-G41</f>
        <v/>
      </c>
      <c r="I41" s="7" t="inlineStr">
        <is>
          <t>Operating</t>
        </is>
      </c>
      <c r="J41" s="7" t="inlineStr"/>
      <c r="K41" s="7" t="inlineStr"/>
    </row>
    <row r="42" ht="15" customHeight="1">
      <c r="A42" s="7" t="inlineStr"/>
      <c r="B42" s="7" t="inlineStr">
        <is>
          <t>11151024</t>
        </is>
      </c>
      <c r="C42" s="7" t="inlineStr">
        <is>
          <t>contra ภาษีมูลค่าเพิ่ม</t>
        </is>
      </c>
      <c r="D42" s="7" t="inlineStr">
        <is>
          <t>ลูกหนี้หมุนเวียนอื่น</t>
        </is>
      </c>
      <c r="E42" s="8" t="n"/>
      <c r="F42" s="9" t="n">
        <v>0</v>
      </c>
      <c r="G42" s="10">
        <f>F42-E42</f>
        <v/>
      </c>
      <c r="H42" s="11">
        <f>-G42</f>
        <v/>
      </c>
      <c r="I42" s="7" t="inlineStr">
        <is>
          <t>Operating</t>
        </is>
      </c>
      <c r="J42" s="7" t="inlineStr"/>
      <c r="K42" s="7" t="inlineStr"/>
    </row>
    <row r="43" ht="15" customHeight="1">
      <c r="A43" s="15" t="inlineStr"/>
      <c r="B43" s="15" t="inlineStr">
        <is>
          <t>11151025</t>
        </is>
      </c>
      <c r="C43" s="15" t="inlineStr">
        <is>
          <t>ลูกหนี้อื่น-กิจการที่เกี่ยวข้องกัน</t>
        </is>
      </c>
      <c r="D43" s="15" t="inlineStr">
        <is>
          <t>ลูกหนี้หมุนเวียนอื่น</t>
        </is>
      </c>
      <c r="E43" s="16" t="n"/>
      <c r="F43" s="17" t="n">
        <v>0</v>
      </c>
      <c r="G43" s="18">
        <f>F43-E43</f>
        <v/>
      </c>
      <c r="H43" s="19">
        <f>-G43</f>
        <v/>
      </c>
      <c r="I43" s="15" t="inlineStr">
        <is>
          <t>Operating</t>
        </is>
      </c>
      <c r="J43" s="20" t="inlineStr">
        <is>
          <t>IC</t>
        </is>
      </c>
      <c r="K43" s="15" t="inlineStr"/>
    </row>
    <row r="44" ht="15" customHeight="1">
      <c r="A44" s="7" t="inlineStr"/>
      <c r="B44" s="7" t="inlineStr">
        <is>
          <t>11151026</t>
        </is>
      </c>
      <c r="C44" s="7" t="inlineStr">
        <is>
          <t>รายได้ค้างรับบริการซ่อม</t>
        </is>
      </c>
      <c r="D44" s="7" t="inlineStr">
        <is>
          <t>ลูกหนี้หมุนเวียนอื่น</t>
        </is>
      </c>
      <c r="E44" s="8" t="n"/>
      <c r="F44" s="9" t="n">
        <v>0</v>
      </c>
      <c r="G44" s="10">
        <f>F44-E44</f>
        <v/>
      </c>
      <c r="H44" s="11">
        <f>-G44</f>
        <v/>
      </c>
      <c r="I44" s="7" t="inlineStr">
        <is>
          <t>Operating</t>
        </is>
      </c>
      <c r="J44" s="7" t="inlineStr"/>
      <c r="K44" s="7" t="inlineStr"/>
    </row>
    <row r="45" ht="15" customHeight="1">
      <c r="A45" s="15" t="inlineStr"/>
      <c r="B45" s="15" t="inlineStr">
        <is>
          <t>11212011</t>
        </is>
      </c>
      <c r="C45" s="15" t="inlineStr">
        <is>
          <t>ดอกเบี้ยค้างรับจากบริษัทย่อย</t>
        </is>
      </c>
      <c r="D45" s="15" t="inlineStr">
        <is>
          <t>ลูกหนี้หมุนเวียนอื่น</t>
        </is>
      </c>
      <c r="E45" s="16" t="n"/>
      <c r="F45" s="17" t="n">
        <v>0</v>
      </c>
      <c r="G45" s="18">
        <f>F45-E45</f>
        <v/>
      </c>
      <c r="H45" s="19">
        <f>-G45</f>
        <v/>
      </c>
      <c r="I45" s="15" t="inlineStr">
        <is>
          <t>Operating</t>
        </is>
      </c>
      <c r="J45" s="20" t="inlineStr">
        <is>
          <t>IC</t>
        </is>
      </c>
      <c r="K45" s="15" t="inlineStr"/>
    </row>
    <row r="46" ht="15" customHeight="1">
      <c r="A46" s="7" t="inlineStr"/>
      <c r="B46" s="7" t="inlineStr">
        <is>
          <t>11212031</t>
        </is>
      </c>
      <c r="C46" s="7" t="inlineStr">
        <is>
          <t>ดอกเบี้ยค้างรับจากบริษัทอื่น</t>
        </is>
      </c>
      <c r="D46" s="7" t="inlineStr">
        <is>
          <t>ลูกหนี้หมุนเวียนอื่น</t>
        </is>
      </c>
      <c r="E46" s="8" t="n"/>
      <c r="F46" s="9" t="n">
        <v>0</v>
      </c>
      <c r="G46" s="10">
        <f>F46-E46</f>
        <v/>
      </c>
      <c r="H46" s="11">
        <f>-G46</f>
        <v/>
      </c>
      <c r="I46" s="7" t="inlineStr">
        <is>
          <t>Operating</t>
        </is>
      </c>
      <c r="J46" s="7" t="inlineStr"/>
      <c r="K46" s="7" t="inlineStr"/>
    </row>
    <row r="47" ht="16" customHeight="1">
      <c r="A47" s="12" t="inlineStr"/>
      <c r="B47" s="12" t="inlineStr"/>
      <c r="C47" s="12" t="inlineStr">
        <is>
          <t>รวม 2. ลูกหนี้หมุนเวียนอื่น (Other Current Receivables)</t>
        </is>
      </c>
      <c r="D47" s="12" t="inlineStr"/>
      <c r="E47" s="13">
        <f>SUM(E19:E46)</f>
        <v/>
      </c>
      <c r="F47" s="13">
        <f>SUM(F19:F46)</f>
        <v/>
      </c>
      <c r="G47" s="13">
        <f>SUM(G19:G46)</f>
        <v/>
      </c>
      <c r="H47" s="14">
        <f>SUM(H19:H46)</f>
        <v/>
      </c>
      <c r="I47" s="12" t="inlineStr">
        <is>
          <t>Operating</t>
        </is>
      </c>
      <c r="J47" s="12" t="inlineStr"/>
      <c r="K47" s="12" t="inlineStr"/>
    </row>
    <row r="49" ht="18" customHeight="1">
      <c r="A49" s="4" t="inlineStr">
        <is>
          <t>3. ที่ดิน อาคาร อุปกรณ์ / PPE &amp; Investment Property</t>
        </is>
      </c>
    </row>
    <row r="50" ht="14" customHeight="1">
      <c r="A50" s="5" t="inlineStr">
        <is>
          <t xml:space="preserve">   Logic: ดูร่วมกับรายการซื้อ/ขาย FA + ค่าเสื่อมที่ add-back ใน Operating   |   Activity: Investing</t>
        </is>
      </c>
    </row>
    <row r="51" ht="13" customHeight="1">
      <c r="A51" s="6" t="inlineStr"/>
      <c r="B51" s="6" t="inlineStr"/>
      <c r="C51" s="6" t="inlineStr">
        <is>
          <t>Intercompany accounts highlighted in yellow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 ht="15" customHeight="1">
      <c r="A52" s="7" t="inlineStr"/>
      <c r="B52" s="7" t="inlineStr">
        <is>
          <t>11221010</t>
        </is>
      </c>
      <c r="C52" s="7" t="inlineStr">
        <is>
          <t>ที่ดิน</t>
        </is>
      </c>
      <c r="D52" s="7" t="inlineStr">
        <is>
          <t xml:space="preserve">ที่ดิน อาคารและอุปกรณ์ </t>
        </is>
      </c>
      <c r="E52" s="8" t="n"/>
      <c r="F52" s="9" t="n">
        <v>2324088.3218</v>
      </c>
      <c r="G52" s="10">
        <f>F52-E52</f>
        <v/>
      </c>
      <c r="H52" s="11">
        <f>-G52</f>
        <v/>
      </c>
      <c r="I52" s="7" t="inlineStr">
        <is>
          <t>Investing</t>
        </is>
      </c>
      <c r="J52" s="7" t="inlineStr"/>
      <c r="K52" s="7" t="inlineStr"/>
    </row>
    <row r="53" ht="15" customHeight="1">
      <c r="A53" s="7" t="inlineStr"/>
      <c r="B53" s="7" t="inlineStr">
        <is>
          <t>11214010</t>
        </is>
      </c>
      <c r="C53" s="7" t="inlineStr">
        <is>
          <t>อสังหาริมทรัพย์เพื่อการลงทุน</t>
        </is>
      </c>
      <c r="D53" s="7" t="inlineStr">
        <is>
          <t>อสังหาริมทรัพย์เพื่อการลงทุน</t>
        </is>
      </c>
      <c r="E53" s="8" t="n"/>
      <c r="F53" s="9" t="n">
        <v>1662246.1677</v>
      </c>
      <c r="G53" s="10">
        <f>F53-E53</f>
        <v/>
      </c>
      <c r="H53" s="11">
        <f>-G53</f>
        <v/>
      </c>
      <c r="I53" s="7" t="inlineStr">
        <is>
          <t>Investing</t>
        </is>
      </c>
      <c r="J53" s="7" t="inlineStr"/>
      <c r="K53" s="7" t="inlineStr"/>
    </row>
    <row r="54" ht="15" customHeight="1">
      <c r="A54" s="7" t="inlineStr"/>
      <c r="B54" s="7" t="inlineStr">
        <is>
          <t>11221020</t>
        </is>
      </c>
      <c r="C54" s="7" t="inlineStr">
        <is>
          <t>ส่วนปรับปรุงที่ดิน</t>
        </is>
      </c>
      <c r="D54" s="7" t="inlineStr">
        <is>
          <t xml:space="preserve">ที่ดิน อาคารและอุปกรณ์ </t>
        </is>
      </c>
      <c r="E54" s="8" t="n"/>
      <c r="F54" s="9" t="n">
        <v>149023.1422</v>
      </c>
      <c r="G54" s="10">
        <f>F54-E54</f>
        <v/>
      </c>
      <c r="H54" s="11">
        <f>-G54</f>
        <v/>
      </c>
      <c r="I54" s="7" t="inlineStr">
        <is>
          <t>Investing</t>
        </is>
      </c>
      <c r="J54" s="7" t="inlineStr"/>
      <c r="K54" s="7" t="inlineStr"/>
    </row>
    <row r="55" ht="15" customHeight="1">
      <c r="A55" s="7" t="inlineStr"/>
      <c r="B55" s="7" t="inlineStr">
        <is>
          <t>11221030</t>
        </is>
      </c>
      <c r="C55" s="7" t="inlineStr">
        <is>
          <t>อาคารและสิ่งปลูกสร้าง</t>
        </is>
      </c>
      <c r="D55" s="7" t="inlineStr">
        <is>
          <t xml:space="preserve">ที่ดิน อาคารและอุปกรณ์ </t>
        </is>
      </c>
      <c r="E55" s="8" t="n"/>
      <c r="F55" s="9" t="n">
        <v>3545023.2348</v>
      </c>
      <c r="G55" s="10">
        <f>F55-E55</f>
        <v/>
      </c>
      <c r="H55" s="11">
        <f>-G55</f>
        <v/>
      </c>
      <c r="I55" s="7" t="inlineStr">
        <is>
          <t>Investing</t>
        </is>
      </c>
      <c r="J55" s="7" t="inlineStr"/>
      <c r="K55" s="7" t="inlineStr"/>
    </row>
    <row r="56" ht="15" customHeight="1">
      <c r="A56" s="7" t="inlineStr"/>
      <c r="B56" s="7" t="inlineStr">
        <is>
          <t>11221040</t>
        </is>
      </c>
      <c r="C56" s="7" t="inlineStr">
        <is>
          <t>ส่วนปรับปรุงอาคาร</t>
        </is>
      </c>
      <c r="D56" s="7" t="inlineStr">
        <is>
          <t xml:space="preserve">ที่ดิน อาคารและอุปกรณ์ </t>
        </is>
      </c>
      <c r="E56" s="8" t="n"/>
      <c r="F56" s="9" t="n">
        <v>1123287.2579</v>
      </c>
      <c r="G56" s="10">
        <f>F56-E56</f>
        <v/>
      </c>
      <c r="H56" s="11">
        <f>-G56</f>
        <v/>
      </c>
      <c r="I56" s="7" t="inlineStr">
        <is>
          <t>Investing</t>
        </is>
      </c>
      <c r="J56" s="7" t="inlineStr"/>
      <c r="K56" s="7" t="inlineStr"/>
    </row>
    <row r="57" ht="15" customHeight="1">
      <c r="A57" s="7" t="inlineStr"/>
      <c r="B57" s="7" t="inlineStr">
        <is>
          <t>11221050</t>
        </is>
      </c>
      <c r="C57" s="7" t="inlineStr">
        <is>
          <t>เครื่องคอมพิวเตอร์</t>
        </is>
      </c>
      <c r="D57" s="7" t="inlineStr">
        <is>
          <t xml:space="preserve">ที่ดิน อาคารและอุปกรณ์ </t>
        </is>
      </c>
      <c r="E57" s="8" t="n"/>
      <c r="F57" s="9" t="n">
        <v>138512.2871</v>
      </c>
      <c r="G57" s="10">
        <f>F57-E57</f>
        <v/>
      </c>
      <c r="H57" s="11">
        <f>-G57</f>
        <v/>
      </c>
      <c r="I57" s="7" t="inlineStr">
        <is>
          <t>Investing</t>
        </is>
      </c>
      <c r="J57" s="7" t="inlineStr"/>
      <c r="K57" s="7" t="inlineStr"/>
    </row>
    <row r="58" ht="15" customHeight="1">
      <c r="A58" s="7" t="inlineStr"/>
      <c r="B58" s="7" t="inlineStr">
        <is>
          <t>11221060</t>
        </is>
      </c>
      <c r="C58" s="7" t="inlineStr">
        <is>
          <t>เครื่องมือเครื่องใช้อุปกรณ์ช่าง</t>
        </is>
      </c>
      <c r="D58" s="7" t="inlineStr">
        <is>
          <t xml:space="preserve">ที่ดิน อาคารและอุปกรณ์ </t>
        </is>
      </c>
      <c r="E58" s="8" t="n"/>
      <c r="F58" s="9" t="n">
        <v>904779.4133000001</v>
      </c>
      <c r="G58" s="10">
        <f>F58-E58</f>
        <v/>
      </c>
      <c r="H58" s="11">
        <f>-G58</f>
        <v/>
      </c>
      <c r="I58" s="7" t="inlineStr">
        <is>
          <t>Investing</t>
        </is>
      </c>
      <c r="J58" s="7" t="inlineStr"/>
      <c r="K58" s="7" t="inlineStr"/>
    </row>
    <row r="59" ht="15" customHeight="1">
      <c r="A59" s="7" t="inlineStr"/>
      <c r="B59" s="7" t="inlineStr">
        <is>
          <t>11221070</t>
        </is>
      </c>
      <c r="C59" s="7" t="inlineStr">
        <is>
          <t>เครื่องตกแต่งและติดตั้งสำนักงาน</t>
        </is>
      </c>
      <c r="D59" s="7" t="inlineStr">
        <is>
          <t xml:space="preserve">ที่ดิน อาคารและอุปกรณ์ </t>
        </is>
      </c>
      <c r="E59" s="8" t="n"/>
      <c r="F59" s="9" t="n">
        <v>282284.5637</v>
      </c>
      <c r="G59" s="10">
        <f>F59-E59</f>
        <v/>
      </c>
      <c r="H59" s="11">
        <f>-G59</f>
        <v/>
      </c>
      <c r="I59" s="7" t="inlineStr">
        <is>
          <t>Investing</t>
        </is>
      </c>
      <c r="J59" s="7" t="inlineStr"/>
      <c r="K59" s="7" t="inlineStr"/>
    </row>
    <row r="60" ht="15" customHeight="1">
      <c r="A60" s="7" t="inlineStr"/>
      <c r="B60" s="7" t="inlineStr">
        <is>
          <t>11221080</t>
        </is>
      </c>
      <c r="C60" s="7" t="inlineStr">
        <is>
          <t>ยานพาหนะ</t>
        </is>
      </c>
      <c r="D60" s="7" t="inlineStr">
        <is>
          <t xml:space="preserve">ที่ดิน อาคารและอุปกรณ์ </t>
        </is>
      </c>
      <c r="E60" s="8" t="n"/>
      <c r="F60" s="9" t="n">
        <v>369263.2584</v>
      </c>
      <c r="G60" s="10">
        <f>F60-E60</f>
        <v/>
      </c>
      <c r="H60" s="11">
        <f>-G60</f>
        <v/>
      </c>
      <c r="I60" s="7" t="inlineStr">
        <is>
          <t>Investing</t>
        </is>
      </c>
      <c r="J60" s="7" t="inlineStr"/>
      <c r="K60" s="7" t="inlineStr"/>
    </row>
    <row r="61" ht="15" customHeight="1">
      <c r="A61" s="7" t="inlineStr"/>
      <c r="B61" s="7" t="inlineStr">
        <is>
          <t>11221090</t>
        </is>
      </c>
      <c r="C61" s="7" t="inlineStr">
        <is>
          <t>อุปกรณ์สำนักงาน</t>
        </is>
      </c>
      <c r="D61" s="7" t="inlineStr">
        <is>
          <t xml:space="preserve">ที่ดิน อาคารและอุปกรณ์ </t>
        </is>
      </c>
      <c r="E61" s="8" t="n"/>
      <c r="F61" s="9" t="n">
        <v>76298.30359999998</v>
      </c>
      <c r="G61" s="10">
        <f>F61-E61</f>
        <v/>
      </c>
      <c r="H61" s="11">
        <f>-G61</f>
        <v/>
      </c>
      <c r="I61" s="7" t="inlineStr">
        <is>
          <t>Investing</t>
        </is>
      </c>
      <c r="J61" s="7" t="inlineStr"/>
      <c r="K61" s="7" t="inlineStr"/>
    </row>
    <row r="62" ht="15" customHeight="1">
      <c r="A62" s="7" t="inlineStr"/>
      <c r="B62" s="7" t="inlineStr">
        <is>
          <t>11221130</t>
        </is>
      </c>
      <c r="C62" s="7" t="inlineStr">
        <is>
          <t>สินทรัพย์รอการจำหน่าย หรือ ทำลาย</t>
        </is>
      </c>
      <c r="D62" s="7" t="inlineStr">
        <is>
          <t xml:space="preserve">ที่ดิน อาคารและอุปกรณ์ </t>
        </is>
      </c>
      <c r="E62" s="8" t="n"/>
      <c r="F62" s="9" t="n">
        <v>429.7125</v>
      </c>
      <c r="G62" s="10">
        <f>F62-E62</f>
        <v/>
      </c>
      <c r="H62" s="11">
        <f>-G62</f>
        <v/>
      </c>
      <c r="I62" s="7" t="inlineStr">
        <is>
          <t>Investing</t>
        </is>
      </c>
      <c r="J62" s="7" t="inlineStr"/>
      <c r="K62" s="7" t="inlineStr"/>
    </row>
    <row r="63" ht="15" customHeight="1">
      <c r="A63" s="7" t="inlineStr"/>
      <c r="B63" s="7" t="inlineStr">
        <is>
          <t>11221100</t>
        </is>
      </c>
      <c r="C63" s="7" t="inlineStr">
        <is>
          <t>งานระหว่างการก่อสร้าง</t>
        </is>
      </c>
      <c r="D63" s="7" t="inlineStr">
        <is>
          <t xml:space="preserve">ที่ดิน อาคารและอุปกรณ์ </t>
        </is>
      </c>
      <c r="E63" s="8" t="n"/>
      <c r="F63" s="9" t="n">
        <v>12.3697</v>
      </c>
      <c r="G63" s="10">
        <f>F63-E63</f>
        <v/>
      </c>
      <c r="H63" s="11">
        <f>-G63</f>
        <v/>
      </c>
      <c r="I63" s="7" t="inlineStr">
        <is>
          <t>Investing</t>
        </is>
      </c>
      <c r="J63" s="7" t="inlineStr"/>
      <c r="K63" s="7" t="inlineStr"/>
    </row>
    <row r="64" ht="15" customHeight="1">
      <c r="A64" s="7" t="inlineStr"/>
      <c r="B64" s="7" t="inlineStr">
        <is>
          <t>11221120</t>
        </is>
      </c>
      <c r="C64" s="7" t="inlineStr">
        <is>
          <t>สินทรัพย์รอการจำหน่าย หรือ ทำลาย</t>
        </is>
      </c>
      <c r="D64" s="7" t="inlineStr">
        <is>
          <t xml:space="preserve">ที่ดิน อาคารและอุปกรณ์ </t>
        </is>
      </c>
      <c r="E64" s="8" t="n"/>
      <c r="F64" s="9" t="n">
        <v>635.0295</v>
      </c>
      <c r="G64" s="10">
        <f>F64-E64</f>
        <v/>
      </c>
      <c r="H64" s="11">
        <f>-G64</f>
        <v/>
      </c>
      <c r="I64" s="7" t="inlineStr">
        <is>
          <t>Investing</t>
        </is>
      </c>
      <c r="J64" s="7" t="inlineStr"/>
      <c r="K64" s="7" t="inlineStr"/>
    </row>
    <row r="65" ht="15" customHeight="1">
      <c r="A65" s="7" t="inlineStr"/>
      <c r="B65" s="7" t="inlineStr">
        <is>
          <t>11222020</t>
        </is>
      </c>
      <c r="C65" s="7" t="inlineStr">
        <is>
          <t>ค่าเสื่อมราคาสะสม-ส่วนปรับปรุงที่ดิน</t>
        </is>
      </c>
      <c r="D65" s="7" t="inlineStr">
        <is>
          <t xml:space="preserve">ที่ดิน อาคารและอุปกรณ์ </t>
        </is>
      </c>
      <c r="E65" s="8" t="n"/>
      <c r="F65" s="9" t="n">
        <v>-4155.936400000001</v>
      </c>
      <c r="G65" s="10">
        <f>F65-E65</f>
        <v/>
      </c>
      <c r="H65" s="11">
        <f>-G65</f>
        <v/>
      </c>
      <c r="I65" s="7" t="inlineStr">
        <is>
          <t>Investing</t>
        </is>
      </c>
      <c r="J65" s="7" t="inlineStr"/>
      <c r="K65" s="7" t="inlineStr"/>
    </row>
    <row r="66" ht="15" customHeight="1">
      <c r="A66" s="7" t="inlineStr"/>
      <c r="B66" s="7" t="inlineStr">
        <is>
          <t>11222030</t>
        </is>
      </c>
      <c r="C66" s="7" t="inlineStr">
        <is>
          <t>ค่าเสื่อมราคาสะสม-อาคารและสิ่งปลูกสร้าง</t>
        </is>
      </c>
      <c r="D66" s="7" t="inlineStr">
        <is>
          <t xml:space="preserve">ที่ดิน อาคารและอุปกรณ์ </t>
        </is>
      </c>
      <c r="E66" s="8" t="n"/>
      <c r="F66" s="9" t="n">
        <v>-1306888.933268569</v>
      </c>
      <c r="G66" s="10">
        <f>F66-E66</f>
        <v/>
      </c>
      <c r="H66" s="11">
        <f>-G66</f>
        <v/>
      </c>
      <c r="I66" s="7" t="inlineStr">
        <is>
          <t>Investing</t>
        </is>
      </c>
      <c r="J66" s="7" t="inlineStr"/>
      <c r="K66" s="7" t="inlineStr"/>
    </row>
    <row r="67" ht="15" customHeight="1">
      <c r="A67" s="7" t="inlineStr"/>
      <c r="B67" s="7" t="inlineStr">
        <is>
          <t>11222031</t>
        </is>
      </c>
      <c r="C67" s="7" t="inlineStr">
        <is>
          <t>ค่าเสื่อมราคาสะสม-อาคารและสิ่งปลูกสร้าง - IP</t>
        </is>
      </c>
      <c r="D67" s="7" t="inlineStr">
        <is>
          <t>อสังหาริมทรัพย์เพื่อการลงทุน</t>
        </is>
      </c>
      <c r="E67" s="8" t="n"/>
      <c r="F67" s="9" t="n">
        <v>-222474.972999331</v>
      </c>
      <c r="G67" s="10">
        <f>F67-E67</f>
        <v/>
      </c>
      <c r="H67" s="11">
        <f>-G67</f>
        <v/>
      </c>
      <c r="I67" s="7" t="inlineStr">
        <is>
          <t>Investing</t>
        </is>
      </c>
      <c r="J67" s="7" t="inlineStr"/>
      <c r="K67" s="7" t="inlineStr"/>
    </row>
    <row r="68" ht="15" customHeight="1">
      <c r="A68" s="7" t="inlineStr"/>
      <c r="B68" s="7" t="inlineStr">
        <is>
          <t>11222040</t>
        </is>
      </c>
      <c r="C68" s="7" t="inlineStr">
        <is>
          <t>ค่าเสื่อมราคาสะสม-ส่วนปรับปรุงอาคาร</t>
        </is>
      </c>
      <c r="D68" s="7" t="inlineStr">
        <is>
          <t xml:space="preserve">ที่ดิน อาคารและอุปกรณ์ </t>
        </is>
      </c>
      <c r="E68" s="8" t="n"/>
      <c r="F68" s="9" t="n">
        <v>-742119.5579577025</v>
      </c>
      <c r="G68" s="10">
        <f>F68-E68</f>
        <v/>
      </c>
      <c r="H68" s="11">
        <f>-G68</f>
        <v/>
      </c>
      <c r="I68" s="7" t="inlineStr">
        <is>
          <t>Investing</t>
        </is>
      </c>
      <c r="J68" s="7" t="inlineStr"/>
      <c r="K68" s="7" t="inlineStr"/>
    </row>
    <row r="69" ht="15" customHeight="1">
      <c r="A69" s="7" t="inlineStr"/>
      <c r="B69" s="7" t="inlineStr">
        <is>
          <t>11222041</t>
        </is>
      </c>
      <c r="C69" s="7" t="inlineStr">
        <is>
          <t>ค่าเสื่อมราคาสะสม-ส่วนปรับปรุงอาคาร - IP</t>
        </is>
      </c>
      <c r="D69" s="7" t="inlineStr">
        <is>
          <t>อสังหาริมทรัพย์เพื่อการลงทุน</t>
        </is>
      </c>
      <c r="E69" s="8" t="n"/>
      <c r="F69" s="9" t="n">
        <v>-1665.07955500064</v>
      </c>
      <c r="G69" s="10">
        <f>F69-E69</f>
        <v/>
      </c>
      <c r="H69" s="11">
        <f>-G69</f>
        <v/>
      </c>
      <c r="I69" s="7" t="inlineStr">
        <is>
          <t>Investing</t>
        </is>
      </c>
      <c r="J69" s="7" t="inlineStr"/>
      <c r="K69" s="7" t="inlineStr"/>
    </row>
    <row r="70" ht="15" customHeight="1">
      <c r="A70" s="7" t="inlineStr"/>
      <c r="B70" s="7" t="inlineStr">
        <is>
          <t>11222050</t>
        </is>
      </c>
      <c r="C70" s="7" t="inlineStr">
        <is>
          <t>ค่าเสื่อมราคาสะสม-เครื่องคอมพิวเตอร์</t>
        </is>
      </c>
      <c r="D70" s="7" t="inlineStr">
        <is>
          <t xml:space="preserve">ที่ดิน อาคารและอุปกรณ์ </t>
        </is>
      </c>
      <c r="E70" s="8" t="n"/>
      <c r="F70" s="9" t="n">
        <v>-114756.1427102554</v>
      </c>
      <c r="G70" s="10">
        <f>F70-E70</f>
        <v/>
      </c>
      <c r="H70" s="11">
        <f>-G70</f>
        <v/>
      </c>
      <c r="I70" s="7" t="inlineStr">
        <is>
          <t>Investing</t>
        </is>
      </c>
      <c r="J70" s="7" t="inlineStr"/>
      <c r="K70" s="7" t="inlineStr"/>
    </row>
    <row r="71" ht="15" customHeight="1">
      <c r="A71" s="7" t="inlineStr"/>
      <c r="B71" s="7" t="inlineStr">
        <is>
          <t>11222060</t>
        </is>
      </c>
      <c r="C71" s="7" t="inlineStr">
        <is>
          <t>ค่าเสื่อมราคาสะสม-เครื่องมือเครื่องใช้อุปกรณ์ช่าง</t>
        </is>
      </c>
      <c r="D71" s="7" t="inlineStr">
        <is>
          <t xml:space="preserve">ที่ดิน อาคารและอุปกรณ์ </t>
        </is>
      </c>
      <c r="E71" s="8" t="n"/>
      <c r="F71" s="9" t="n">
        <v>-666133.7880954519</v>
      </c>
      <c r="G71" s="10">
        <f>F71-E71</f>
        <v/>
      </c>
      <c r="H71" s="11">
        <f>-G71</f>
        <v/>
      </c>
      <c r="I71" s="7" t="inlineStr">
        <is>
          <t>Investing</t>
        </is>
      </c>
      <c r="J71" s="7" t="inlineStr"/>
      <c r="K71" s="7" t="inlineStr"/>
    </row>
    <row r="72" ht="15" customHeight="1">
      <c r="A72" s="7" t="inlineStr"/>
      <c r="B72" s="7" t="inlineStr">
        <is>
          <t>11222070</t>
        </is>
      </c>
      <c r="C72" s="7" t="inlineStr">
        <is>
          <t>ค่าเสื่อมราคาสะสม-เครื่องตกแต่งและติดตั้งสำนักงาน</t>
        </is>
      </c>
      <c r="D72" s="7" t="inlineStr">
        <is>
          <t xml:space="preserve">ที่ดิน อาคารและอุปกรณ์ </t>
        </is>
      </c>
      <c r="E72" s="8" t="n"/>
      <c r="F72" s="9" t="n">
        <v>-253132.5106255224</v>
      </c>
      <c r="G72" s="10">
        <f>F72-E72</f>
        <v/>
      </c>
      <c r="H72" s="11">
        <f>-G72</f>
        <v/>
      </c>
      <c r="I72" s="7" t="inlineStr">
        <is>
          <t>Investing</t>
        </is>
      </c>
      <c r="J72" s="7" t="inlineStr"/>
      <c r="K72" s="7" t="inlineStr"/>
    </row>
    <row r="73" ht="15" customHeight="1">
      <c r="A73" s="7" t="inlineStr"/>
      <c r="B73" s="7" t="inlineStr">
        <is>
          <t>11222080</t>
        </is>
      </c>
      <c r="C73" s="7" t="inlineStr">
        <is>
          <t>ค่าเสื่อมราคาสะสม-ยานพาหนะ</t>
        </is>
      </c>
      <c r="D73" s="7" t="inlineStr">
        <is>
          <t xml:space="preserve">ที่ดิน อาคารและอุปกรณ์ </t>
        </is>
      </c>
      <c r="E73" s="8" t="n"/>
      <c r="F73" s="9" t="n">
        <v>-253198.7795</v>
      </c>
      <c r="G73" s="10">
        <f>F73-E73</f>
        <v/>
      </c>
      <c r="H73" s="11">
        <f>-G73</f>
        <v/>
      </c>
      <c r="I73" s="7" t="inlineStr">
        <is>
          <t>Investing</t>
        </is>
      </c>
      <c r="J73" s="7" t="inlineStr"/>
      <c r="K73" s="7" t="inlineStr"/>
    </row>
    <row r="74" ht="15" customHeight="1">
      <c r="A74" s="7" t="inlineStr"/>
      <c r="B74" s="7" t="inlineStr">
        <is>
          <t>11222090</t>
        </is>
      </c>
      <c r="C74" s="7" t="inlineStr">
        <is>
          <t>ค่าเสื่อมราคาสะสม-อุปกรณ์สำนักงาน</t>
        </is>
      </c>
      <c r="D74" s="7" t="inlineStr">
        <is>
          <t xml:space="preserve">ที่ดิน อาคารและอุปกรณ์ </t>
        </is>
      </c>
      <c r="E74" s="8" t="n"/>
      <c r="F74" s="9" t="n">
        <v>-70903.15646750391</v>
      </c>
      <c r="G74" s="10">
        <f>F74-E74</f>
        <v/>
      </c>
      <c r="H74" s="11">
        <f>-G74</f>
        <v/>
      </c>
      <c r="I74" s="7" t="inlineStr">
        <is>
          <t>Investing</t>
        </is>
      </c>
      <c r="J74" s="7" t="inlineStr"/>
      <c r="K74" s="7" t="inlineStr"/>
    </row>
    <row r="75" ht="15" customHeight="1">
      <c r="A75" s="7" t="inlineStr"/>
      <c r="B75" s="7" t="inlineStr">
        <is>
          <t>11225010</t>
        </is>
      </c>
      <c r="C75" s="7" t="inlineStr">
        <is>
          <t>ค่าเสื่อมราคาสะสมอสังหาริมทรัพย์เพื่อการลงทุน</t>
        </is>
      </c>
      <c r="D75" s="7" t="inlineStr">
        <is>
          <t>อสังหาริมทรัพย์เพื่อการลงทุน</t>
        </is>
      </c>
      <c r="E75" s="8" t="n"/>
      <c r="F75" s="9" t="n">
        <v>0</v>
      </c>
      <c r="G75" s="10">
        <f>F75-E75</f>
        <v/>
      </c>
      <c r="H75" s="11">
        <f>-G75</f>
        <v/>
      </c>
      <c r="I75" s="7" t="inlineStr">
        <is>
          <t>Investing</t>
        </is>
      </c>
      <c r="J75" s="7" t="inlineStr"/>
      <c r="K75" s="7" t="inlineStr"/>
    </row>
    <row r="76" ht="16" customHeight="1">
      <c r="A76" s="12" t="inlineStr"/>
      <c r="B76" s="12" t="inlineStr"/>
      <c r="C76" s="12" t="inlineStr">
        <is>
          <t>รวม 3. ที่ดิน อาคาร อุปกรณ์ / PPE &amp; Investment Property</t>
        </is>
      </c>
      <c r="D76" s="12" t="inlineStr"/>
      <c r="E76" s="13">
        <f>SUM(E52:E75)</f>
        <v/>
      </c>
      <c r="F76" s="13">
        <f>SUM(F52:F75)</f>
        <v/>
      </c>
      <c r="G76" s="13">
        <f>SUM(G52:G75)</f>
        <v/>
      </c>
      <c r="H76" s="14">
        <f>SUM(H52:H75)</f>
        <v/>
      </c>
      <c r="I76" s="12" t="inlineStr">
        <is>
          <t>Investing</t>
        </is>
      </c>
      <c r="J76" s="12" t="inlineStr"/>
      <c r="K76" s="12" t="inlineStr"/>
    </row>
    <row r="78" ht="18" customHeight="1">
      <c r="A78" s="4" t="inlineStr">
        <is>
          <t>4. สินทรัพย์สิทธิการใช้ ROU Asset (TFRS 16)</t>
        </is>
      </c>
    </row>
    <row r="79" ht="14" customHeight="1">
      <c r="A79" s="5" t="inlineStr">
        <is>
          <t xml:space="preserve">   Logic: Non-cash — ค่าเสื่อม ROU บวกกลับใน Operating  |  ชำระ Lease เงินต้น = Financing   |   Activity: Operating (add-back)</t>
        </is>
      </c>
    </row>
    <row r="80" ht="13" customHeight="1">
      <c r="A80" s="6" t="inlineStr"/>
      <c r="B80" s="6" t="inlineStr"/>
      <c r="C80" s="6" t="inlineStr">
        <is>
          <t>Intercompany accounts highlighted in yellow</t>
        </is>
      </c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 ht="15" customHeight="1">
      <c r="A81" s="7" t="inlineStr"/>
      <c r="B81" s="7" t="inlineStr">
        <is>
          <t>11231050</t>
        </is>
      </c>
      <c r="C81" s="7" t="inlineStr">
        <is>
          <t>สินทรัพย์สิทธิการใช้</t>
        </is>
      </c>
      <c r="D81" s="7" t="inlineStr">
        <is>
          <t>สินทรัพย์สิทธิการใช้</t>
        </is>
      </c>
      <c r="E81" s="8" t="n"/>
      <c r="F81" s="9" t="n">
        <v>2023109.7426</v>
      </c>
      <c r="G81" s="10">
        <f>F81-E81</f>
        <v/>
      </c>
      <c r="H81" s="21" t="inlineStr">
        <is>
          <t>N/A — see note</t>
        </is>
      </c>
      <c r="I81" s="7" t="inlineStr">
        <is>
          <t>Operating (add-back)</t>
        </is>
      </c>
      <c r="J81" s="7" t="inlineStr"/>
      <c r="K81" s="7" t="inlineStr"/>
    </row>
    <row r="82" ht="15" customHeight="1">
      <c r="A82" s="7" t="inlineStr"/>
      <c r="B82" s="7" t="inlineStr">
        <is>
          <t>11232050</t>
        </is>
      </c>
      <c r="C82" s="7" t="inlineStr">
        <is>
          <t>ค่าเสื่อมราคาสะสม-สัญญาเช่า</t>
        </is>
      </c>
      <c r="D82" s="7" t="inlineStr">
        <is>
          <t>สินทรัพย์สิทธิการใช้</t>
        </is>
      </c>
      <c r="E82" s="8" t="n"/>
      <c r="F82" s="9" t="n">
        <v>-641442.3648000001</v>
      </c>
      <c r="G82" s="10">
        <f>F82-E82</f>
        <v/>
      </c>
      <c r="H82" s="21" t="inlineStr">
        <is>
          <t>N/A — see note</t>
        </is>
      </c>
      <c r="I82" s="7" t="inlineStr">
        <is>
          <t>Operating (add-back)</t>
        </is>
      </c>
      <c r="J82" s="7" t="inlineStr"/>
      <c r="K82" s="7" t="inlineStr"/>
    </row>
    <row r="83" ht="16" customHeight="1">
      <c r="A83" s="12" t="inlineStr"/>
      <c r="B83" s="12" t="inlineStr"/>
      <c r="C83" s="12" t="inlineStr">
        <is>
          <t>รวม 4. สินทรัพย์สิทธิการใช้ ROU Asset (TFRS 16)</t>
        </is>
      </c>
      <c r="D83" s="12" t="inlineStr"/>
      <c r="E83" s="13">
        <f>SUM(E81:E82)</f>
        <v/>
      </c>
      <c r="F83" s="13">
        <f>SUM(F81:F82)</f>
        <v/>
      </c>
      <c r="G83" s="13">
        <f>SUM(G81:G82)</f>
        <v/>
      </c>
      <c r="H83" s="13" t="inlineStr">
        <is>
          <t>N/A</t>
        </is>
      </c>
      <c r="I83" s="12" t="inlineStr">
        <is>
          <t>Operating (add-back)</t>
        </is>
      </c>
      <c r="J83" s="12" t="inlineStr"/>
      <c r="K83" s="12" t="inlineStr"/>
    </row>
    <row r="85" ht="18" customHeight="1">
      <c r="A85" s="4" t="inlineStr">
        <is>
          <t>5. สินทรัพย์ภาษีเงินได้รอตัดบัญชี / สินทรัพย์อื่น</t>
        </is>
      </c>
    </row>
    <row r="86" ht="14" customHeight="1">
      <c r="A86" s="5" t="inlineStr">
        <is>
          <t xml:space="preserve">   Logic: เพิ่ม = CF ลบ   |   Activity: Investing</t>
        </is>
      </c>
    </row>
    <row r="87" ht="13" customHeight="1">
      <c r="A87" s="6" t="inlineStr"/>
      <c r="B87" s="6" t="inlineStr"/>
      <c r="C87" s="6" t="inlineStr">
        <is>
          <t>Intercompany accounts highlighted in yellow</t>
        </is>
      </c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 ht="15" customHeight="1">
      <c r="A88" s="7" t="inlineStr"/>
      <c r="B88" s="7" t="inlineStr">
        <is>
          <t>11231040</t>
        </is>
      </c>
      <c r="C88" s="7" t="inlineStr">
        <is>
          <t>สินทรัพย์ภาษีเงินได้รอการตัดบัญชี</t>
        </is>
      </c>
      <c r="D88" s="7" t="inlineStr">
        <is>
          <t>สินทรัพย์ภาษีเงินได้รอการตัดบัญชี</t>
        </is>
      </c>
      <c r="E88" s="8" t="n"/>
      <c r="F88" s="9" t="n">
        <v>170840.6766</v>
      </c>
      <c r="G88" s="10">
        <f>F88-E88</f>
        <v/>
      </c>
      <c r="H88" s="11">
        <f>-G88</f>
        <v/>
      </c>
      <c r="I88" s="7" t="inlineStr">
        <is>
          <t>Investing</t>
        </is>
      </c>
      <c r="J88" s="7" t="inlineStr"/>
      <c r="K88" s="7" t="inlineStr"/>
    </row>
    <row r="89" ht="15" customHeight="1">
      <c r="A89" s="15" t="inlineStr"/>
      <c r="B89" s="15" t="inlineStr">
        <is>
          <t>11212010</t>
        </is>
      </c>
      <c r="C89" s="15" t="inlineStr">
        <is>
          <t>เงินให้กู้ยืมแก่บริษัทย่อย</t>
        </is>
      </c>
      <c r="D89" s="15" t="inlineStr">
        <is>
          <t>เงินให้กู้ยืมระยะยาวแก่บริษัทย่อย</t>
        </is>
      </c>
      <c r="E89" s="16" t="n"/>
      <c r="F89" s="17" t="n">
        <v>0</v>
      </c>
      <c r="G89" s="18">
        <f>F89-E89</f>
        <v/>
      </c>
      <c r="H89" s="19">
        <f>-G89</f>
        <v/>
      </c>
      <c r="I89" s="15" t="inlineStr">
        <is>
          <t>Investing</t>
        </is>
      </c>
      <c r="J89" s="20" t="inlineStr">
        <is>
          <t>IC</t>
        </is>
      </c>
      <c r="K89" s="15" t="inlineStr"/>
    </row>
    <row r="90" ht="15" customHeight="1">
      <c r="A90" s="7" t="inlineStr"/>
      <c r="B90" s="7" t="inlineStr">
        <is>
          <t>11212030</t>
        </is>
      </c>
      <c r="C90" s="7" t="inlineStr">
        <is>
          <t>เงินให้กู้ยืมแก่บริษัทอื่น</t>
        </is>
      </c>
      <c r="D90" s="7" t="inlineStr">
        <is>
          <t>เงินให้กู้ยืมระยะยาวแก่บริษัทย่อย</t>
        </is>
      </c>
      <c r="E90" s="8" t="n"/>
      <c r="F90" s="9" t="n">
        <v>0</v>
      </c>
      <c r="G90" s="10">
        <f>F90-E90</f>
        <v/>
      </c>
      <c r="H90" s="11">
        <f>-G90</f>
        <v/>
      </c>
      <c r="I90" s="7" t="inlineStr">
        <is>
          <t>Investing</t>
        </is>
      </c>
      <c r="J90" s="7" t="inlineStr"/>
      <c r="K90" s="7" t="inlineStr"/>
    </row>
    <row r="91" ht="15" customHeight="1">
      <c r="A91" s="15" t="inlineStr"/>
      <c r="B91" s="15" t="inlineStr">
        <is>
          <t>11213010</t>
        </is>
      </c>
      <c r="C91" s="15" t="inlineStr">
        <is>
          <t>เงินลงทุนในบริษัทย่อย</t>
        </is>
      </c>
      <c r="D91" s="15" t="inlineStr">
        <is>
          <t>เงินลงทุนในบริษัทย่อย</t>
        </is>
      </c>
      <c r="E91" s="16" t="n"/>
      <c r="F91" s="17" t="n">
        <v>0</v>
      </c>
      <c r="G91" s="18">
        <f>F91-E91</f>
        <v/>
      </c>
      <c r="H91" s="19">
        <f>-G91</f>
        <v/>
      </c>
      <c r="I91" s="15" t="inlineStr">
        <is>
          <t>Investing</t>
        </is>
      </c>
      <c r="J91" s="20" t="inlineStr">
        <is>
          <t>IC</t>
        </is>
      </c>
      <c r="K91" s="15" t="inlineStr"/>
    </row>
    <row r="92" ht="15" customHeight="1">
      <c r="A92" s="7" t="inlineStr"/>
      <c r="B92" s="7" t="inlineStr">
        <is>
          <t>21221012</t>
        </is>
      </c>
      <c r="C92" s="7" t="inlineStr">
        <is>
          <t>หนี้สินภาษีเงินได้รอการตัดบัญชี</t>
        </is>
      </c>
      <c r="D92" s="7" t="inlineStr">
        <is>
          <t>สินทรัพย์ภาษีเงินได้รอการตัดบัญชี</t>
        </is>
      </c>
      <c r="E92" s="8" t="n"/>
      <c r="F92" s="9" t="n">
        <v>-15317.9198</v>
      </c>
      <c r="G92" s="10">
        <f>F92-E92</f>
        <v/>
      </c>
      <c r="H92" s="11">
        <f>-G92</f>
        <v/>
      </c>
      <c r="I92" s="7" t="inlineStr">
        <is>
          <t>Investing</t>
        </is>
      </c>
      <c r="J92" s="7" t="inlineStr"/>
      <c r="K92" s="7" t="inlineStr"/>
    </row>
    <row r="93" ht="16" customHeight="1">
      <c r="A93" s="12" t="inlineStr"/>
      <c r="B93" s="12" t="inlineStr"/>
      <c r="C93" s="12" t="inlineStr">
        <is>
          <t>รวม 5. สินทรัพย์ภาษีเงินได้รอตัดบัญชี / สินทรัพย์อื่น</t>
        </is>
      </c>
      <c r="D93" s="12" t="inlineStr"/>
      <c r="E93" s="13">
        <f>SUM(E88:E92)</f>
        <v/>
      </c>
      <c r="F93" s="13">
        <f>SUM(F88:F92)</f>
        <v/>
      </c>
      <c r="G93" s="13">
        <f>SUM(G88:G92)</f>
        <v/>
      </c>
      <c r="H93" s="14">
        <f>SUM(H88:H92)</f>
        <v/>
      </c>
      <c r="I93" s="12" t="inlineStr">
        <is>
          <t>Investing</t>
        </is>
      </c>
      <c r="J93" s="12" t="inlineStr"/>
      <c r="K93" s="12" t="inlineStr"/>
    </row>
    <row r="95" ht="18" customHeight="1">
      <c r="A95" s="4" t="inlineStr">
        <is>
          <t>6. เจ้าหนี้การค้า (Accounts Payable)</t>
        </is>
      </c>
    </row>
    <row r="96" ht="14" customHeight="1">
      <c r="A96" s="5" t="inlineStr">
        <is>
          <t xml:space="preserve">   Logic: AP เพิ่ม = ยังไม่จ่าย = CF บวก  |  AP ลด = จ่ายแล้ว = CF ลบ   |   Activity: Operating</t>
        </is>
      </c>
    </row>
    <row r="97" ht="13" customHeight="1">
      <c r="A97" s="6" t="inlineStr"/>
      <c r="B97" s="6" t="inlineStr"/>
      <c r="C97" s="6" t="inlineStr">
        <is>
          <t>Intercompany accounts highlighted in yellow</t>
        </is>
      </c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</row>
    <row r="98" ht="15" customHeight="1">
      <c r="A98" s="7" t="inlineStr"/>
      <c r="B98" s="7" t="inlineStr">
        <is>
          <t>11113101</t>
        </is>
      </c>
      <c r="C98" s="7" t="inlineStr">
        <is>
          <t>บัญชีพัก-ซื้อสินค้า</t>
        </is>
      </c>
      <c r="D98" s="7" t="inlineStr">
        <is>
          <t xml:space="preserve">เจ้าหนี้การค้า </t>
        </is>
      </c>
      <c r="E98" s="8" t="n"/>
      <c r="F98" s="9" t="n">
        <v>13.1063</v>
      </c>
      <c r="G98" s="10">
        <f>F98-E98</f>
        <v/>
      </c>
      <c r="H98" s="11">
        <f>G98</f>
        <v/>
      </c>
      <c r="I98" s="7" t="inlineStr">
        <is>
          <t>Operating</t>
        </is>
      </c>
      <c r="J98" s="7" t="inlineStr"/>
      <c r="K98" s="7" t="inlineStr"/>
    </row>
    <row r="99" ht="15" customHeight="1">
      <c r="A99" s="7" t="inlineStr"/>
      <c r="B99" s="7" t="inlineStr">
        <is>
          <t>21121010</t>
        </is>
      </c>
      <c r="C99" s="7" t="inlineStr">
        <is>
          <t>เจ้าหนี้การค้า-กิจการที่ไม่เกี่ยวข้องกัน</t>
        </is>
      </c>
      <c r="D99" s="7" t="inlineStr">
        <is>
          <t xml:space="preserve">เจ้าหนี้การค้า </t>
        </is>
      </c>
      <c r="E99" s="8" t="n"/>
      <c r="F99" s="9" t="n">
        <v>-157708.2415</v>
      </c>
      <c r="G99" s="10">
        <f>F99-E99</f>
        <v/>
      </c>
      <c r="H99" s="11">
        <f>G99</f>
        <v/>
      </c>
      <c r="I99" s="7" t="inlineStr">
        <is>
          <t>Operating</t>
        </is>
      </c>
      <c r="J99" s="7" t="inlineStr"/>
      <c r="K99" s="7" t="inlineStr"/>
    </row>
    <row r="100" ht="15" customHeight="1">
      <c r="A100" s="7" t="inlineStr"/>
      <c r="B100" s="7" t="inlineStr">
        <is>
          <t>21121020</t>
        </is>
      </c>
      <c r="C100" s="7" t="inlineStr">
        <is>
          <t>เจ้าหนี้การค้า-ฮอนด้า ออโต้โมบิล</t>
        </is>
      </c>
      <c r="D100" s="7" t="inlineStr">
        <is>
          <t xml:space="preserve">เจ้าหนี้การค้า </t>
        </is>
      </c>
      <c r="E100" s="8" t="n"/>
      <c r="F100" s="9" t="n">
        <v>-704632.2722</v>
      </c>
      <c r="G100" s="10">
        <f>F100-E100</f>
        <v/>
      </c>
      <c r="H100" s="11">
        <f>G100</f>
        <v/>
      </c>
      <c r="I100" s="7" t="inlineStr">
        <is>
          <t>Operating</t>
        </is>
      </c>
      <c r="J100" s="7" t="inlineStr"/>
      <c r="K100" s="7" t="inlineStr"/>
    </row>
    <row r="101" ht="15" customHeight="1">
      <c r="A101" s="7" t="inlineStr"/>
      <c r="B101" s="7" t="inlineStr">
        <is>
          <t>21121030-1</t>
        </is>
      </c>
      <c r="C101" s="7" t="inlineStr">
        <is>
          <t>เจ้าหนี้การค้า-กิจการที่ไม่เกี่ยวข้องกัน-ของโป๊วะ</t>
        </is>
      </c>
      <c r="D101" s="7" t="inlineStr">
        <is>
          <t xml:space="preserve">เจ้าหนี้การค้า </t>
        </is>
      </c>
      <c r="E101" s="8" t="n"/>
      <c r="F101" s="9" t="n">
        <v>-36833.0032</v>
      </c>
      <c r="G101" s="10">
        <f>F101-E101</f>
        <v/>
      </c>
      <c r="H101" s="11">
        <f>G101</f>
        <v/>
      </c>
      <c r="I101" s="7" t="inlineStr">
        <is>
          <t>Operating</t>
        </is>
      </c>
      <c r="J101" s="7" t="inlineStr"/>
      <c r="K101" s="7" t="inlineStr"/>
    </row>
    <row r="102" ht="15" customHeight="1">
      <c r="A102" s="7" t="inlineStr"/>
      <c r="B102" s="7" t="inlineStr">
        <is>
          <t>21121040</t>
        </is>
      </c>
      <c r="C102" s="7" t="inlineStr">
        <is>
          <t>ประมาณการส่วนลดอะไหล่/ส่งเสริมการขาย</t>
        </is>
      </c>
      <c r="D102" s="7" t="inlineStr">
        <is>
          <t xml:space="preserve">เจ้าหนี้การค้า </t>
        </is>
      </c>
      <c r="E102" s="8" t="n"/>
      <c r="F102" s="9" t="n">
        <v>7929.015899999999</v>
      </c>
      <c r="G102" s="10">
        <f>F102-E102</f>
        <v/>
      </c>
      <c r="H102" s="11">
        <f>G102</f>
        <v/>
      </c>
      <c r="I102" s="7" t="inlineStr">
        <is>
          <t>Operating</t>
        </is>
      </c>
      <c r="J102" s="7" t="inlineStr"/>
      <c r="K102" s="7" t="inlineStr"/>
    </row>
    <row r="103" ht="15" customHeight="1">
      <c r="A103" s="7" t="inlineStr"/>
      <c r="B103" s="7" t="inlineStr">
        <is>
          <t>21121050</t>
        </is>
      </c>
      <c r="C103" s="7" t="inlineStr">
        <is>
          <t>เจ้าหนี้การค้า-ฝากขาย</t>
        </is>
      </c>
      <c r="D103" s="7" t="inlineStr">
        <is>
          <t xml:space="preserve">เจ้าหนี้การค้า </t>
        </is>
      </c>
      <c r="E103" s="8" t="n"/>
      <c r="F103" s="9" t="n">
        <v>778.148</v>
      </c>
      <c r="G103" s="10">
        <f>F103-E103</f>
        <v/>
      </c>
      <c r="H103" s="11">
        <f>G103</f>
        <v/>
      </c>
      <c r="I103" s="7" t="inlineStr">
        <is>
          <t>Operating</t>
        </is>
      </c>
      <c r="J103" s="7" t="inlineStr"/>
      <c r="K103" s="7" t="inlineStr"/>
    </row>
    <row r="104" ht="15" customHeight="1">
      <c r="A104" s="15" t="inlineStr"/>
      <c r="B104" s="15" t="inlineStr">
        <is>
          <t>21121030</t>
        </is>
      </c>
      <c r="C104" s="15" t="inlineStr">
        <is>
          <t>เจ้าหนี้การค้า-กิจการที่เกี่ยวข้องกัน</t>
        </is>
      </c>
      <c r="D104" s="15" t="inlineStr">
        <is>
          <t xml:space="preserve">เจ้าหนี้การค้า </t>
        </is>
      </c>
      <c r="E104" s="16" t="n"/>
      <c r="F104" s="17" t="n">
        <v>0</v>
      </c>
      <c r="G104" s="18">
        <f>F104-E104</f>
        <v/>
      </c>
      <c r="H104" s="19">
        <f>G104</f>
        <v/>
      </c>
      <c r="I104" s="15" t="inlineStr">
        <is>
          <t>Operating</t>
        </is>
      </c>
      <c r="J104" s="20" t="inlineStr">
        <is>
          <t>IC</t>
        </is>
      </c>
      <c r="K104" s="15" t="inlineStr"/>
    </row>
    <row r="105" ht="16" customHeight="1">
      <c r="A105" s="12" t="inlineStr"/>
      <c r="B105" s="12" t="inlineStr"/>
      <c r="C105" s="12" t="inlineStr">
        <is>
          <t>รวม 6. เจ้าหนี้การค้า (Accounts Payable)</t>
        </is>
      </c>
      <c r="D105" s="12" t="inlineStr"/>
      <c r="E105" s="13">
        <f>SUM(E98:E104)</f>
        <v/>
      </c>
      <c r="F105" s="13">
        <f>SUM(F98:F104)</f>
        <v/>
      </c>
      <c r="G105" s="13">
        <f>SUM(G98:G104)</f>
        <v/>
      </c>
      <c r="H105" s="14">
        <f>SUM(H98:H104)</f>
        <v/>
      </c>
      <c r="I105" s="12" t="inlineStr">
        <is>
          <t>Operating</t>
        </is>
      </c>
      <c r="J105" s="12" t="inlineStr"/>
      <c r="K105" s="12" t="inlineStr"/>
    </row>
    <row r="107" ht="18" customHeight="1">
      <c r="A107" s="4" t="inlineStr">
        <is>
          <t>7. เจ้าหนี้หมุนเวียนอื่น / ค่าใช้จ่ายค้างจ่าย / ดอกเบี้ยค้างจ่าย</t>
        </is>
      </c>
    </row>
    <row r="108" ht="14" customHeight="1">
      <c r="A108" s="5" t="inlineStr">
        <is>
          <t xml:space="preserve">   Logic: เพิ่ม = CF บวก  —  รวม: ค่าใช้จ่ายค้างจ่าย, ดอกเบี้ยค้างจ่าย, เงินรับล่วงหน้า   |   Activity: Operating</t>
        </is>
      </c>
    </row>
    <row r="109" ht="13" customHeight="1">
      <c r="A109" s="6" t="inlineStr"/>
      <c r="B109" s="6" t="inlineStr"/>
      <c r="C109" s="6" t="inlineStr">
        <is>
          <t>Intercompany accounts highlighted in yellow</t>
        </is>
      </c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</row>
    <row r="110" ht="15" customHeight="1">
      <c r="A110" s="7" t="inlineStr"/>
      <c r="B110" s="7" t="inlineStr">
        <is>
          <t>21141011</t>
        </is>
      </c>
      <c r="C110" s="7" t="inlineStr">
        <is>
          <t>ค่าใช้จ่ายค้างจ่าย</t>
        </is>
      </c>
      <c r="D110" s="7" t="inlineStr">
        <is>
          <t>เจ้าหนี้หมุนเวียนอื่น</t>
        </is>
      </c>
      <c r="E110" s="8" t="n"/>
      <c r="F110" s="9" t="n">
        <v>-58153.9304</v>
      </c>
      <c r="G110" s="10">
        <f>F110-E110</f>
        <v/>
      </c>
      <c r="H110" s="11">
        <f>G110</f>
        <v/>
      </c>
      <c r="I110" s="7" t="inlineStr">
        <is>
          <t>Operating</t>
        </is>
      </c>
      <c r="J110" s="7" t="inlineStr"/>
      <c r="K110" s="7" t="inlineStr"/>
    </row>
    <row r="111" ht="15" customHeight="1">
      <c r="A111" s="7" t="inlineStr"/>
      <c r="B111" s="7" t="inlineStr">
        <is>
          <t>21141012</t>
        </is>
      </c>
      <c r="C111" s="7" t="inlineStr">
        <is>
          <t>เงินประกันสังคมค้างจ่าย</t>
        </is>
      </c>
      <c r="D111" s="7" t="inlineStr">
        <is>
          <t>เจ้าหนี้หมุนเวียนอื่น</t>
        </is>
      </c>
      <c r="E111" s="8" t="n"/>
      <c r="F111" s="9" t="n">
        <v>-6227</v>
      </c>
      <c r="G111" s="10">
        <f>F111-E111</f>
        <v/>
      </c>
      <c r="H111" s="11">
        <f>G111</f>
        <v/>
      </c>
      <c r="I111" s="7" t="inlineStr">
        <is>
          <t>Operating</t>
        </is>
      </c>
      <c r="J111" s="7" t="inlineStr"/>
      <c r="K111" s="7" t="inlineStr"/>
    </row>
    <row r="112" ht="15" customHeight="1">
      <c r="A112" s="7" t="inlineStr"/>
      <c r="B112" s="7" t="inlineStr">
        <is>
          <t>21141014</t>
        </is>
      </c>
      <c r="C112" s="7" t="inlineStr">
        <is>
          <t>เงินปันผลค้างจ่าย</t>
        </is>
      </c>
      <c r="D112" s="7" t="inlineStr">
        <is>
          <t>เจ้าหนี้หมุนเวียนอื่น</t>
        </is>
      </c>
      <c r="E112" s="8" t="n"/>
      <c r="F112" s="9" t="n">
        <v>-34.8929</v>
      </c>
      <c r="G112" s="10">
        <f>F112-E112</f>
        <v/>
      </c>
      <c r="H112" s="11">
        <f>G112</f>
        <v/>
      </c>
      <c r="I112" s="7" t="inlineStr">
        <is>
          <t>Operating</t>
        </is>
      </c>
      <c r="J112" s="7" t="inlineStr"/>
      <c r="K112" s="7" t="inlineStr"/>
    </row>
    <row r="113" ht="15" customHeight="1">
      <c r="A113" s="7" t="inlineStr"/>
      <c r="B113" s="7" t="inlineStr">
        <is>
          <t>21141016</t>
        </is>
      </c>
      <c r="C113" s="7" t="inlineStr">
        <is>
          <t>เงิน กยศ พนักงานค้างจ่าย</t>
        </is>
      </c>
      <c r="D113" s="7" t="inlineStr">
        <is>
          <t>เจ้าหนี้หมุนเวียนอื่น</t>
        </is>
      </c>
      <c r="E113" s="8" t="n"/>
      <c r="F113" s="9" t="n">
        <v>-757.87</v>
      </c>
      <c r="G113" s="10">
        <f>F113-E113</f>
        <v/>
      </c>
      <c r="H113" s="11">
        <f>G113</f>
        <v/>
      </c>
      <c r="I113" s="7" t="inlineStr">
        <is>
          <t>Operating</t>
        </is>
      </c>
      <c r="J113" s="7" t="inlineStr"/>
      <c r="K113" s="7" t="inlineStr"/>
    </row>
    <row r="114" ht="15" customHeight="1">
      <c r="A114" s="7" t="inlineStr"/>
      <c r="B114" s="7" t="inlineStr">
        <is>
          <t>21142011</t>
        </is>
      </c>
      <c r="C114" s="7" t="inlineStr">
        <is>
          <t>เงินรับล่วงหน้า-จองรถยนต์</t>
        </is>
      </c>
      <c r="D114" s="7" t="inlineStr">
        <is>
          <t>เจ้าหนี้หมุนเวียนอื่น</t>
        </is>
      </c>
      <c r="E114" s="8" t="n"/>
      <c r="F114" s="9" t="n">
        <v>-6921.485799999999</v>
      </c>
      <c r="G114" s="10">
        <f>F114-E114</f>
        <v/>
      </c>
      <c r="H114" s="11">
        <f>G114</f>
        <v/>
      </c>
      <c r="I114" s="7" t="inlineStr">
        <is>
          <t>Operating</t>
        </is>
      </c>
      <c r="J114" s="7" t="inlineStr"/>
      <c r="K114" s="7" t="inlineStr"/>
    </row>
    <row r="115" ht="15" customHeight="1">
      <c r="A115" s="7" t="inlineStr"/>
      <c r="B115" s="7" t="inlineStr">
        <is>
          <t>21142012</t>
        </is>
      </c>
      <c r="C115" s="7" t="inlineStr">
        <is>
          <t>เงินรับล่วงหน้า-อะไหล่</t>
        </is>
      </c>
      <c r="D115" s="7" t="inlineStr">
        <is>
          <t>เจ้าหนี้หมุนเวียนอื่น</t>
        </is>
      </c>
      <c r="E115" s="8" t="n"/>
      <c r="F115" s="9" t="n">
        <v>-43356.4581</v>
      </c>
      <c r="G115" s="10">
        <f>F115-E115</f>
        <v/>
      </c>
      <c r="H115" s="11">
        <f>G115</f>
        <v/>
      </c>
      <c r="I115" s="7" t="inlineStr">
        <is>
          <t>Operating</t>
        </is>
      </c>
      <c r="J115" s="7" t="inlineStr"/>
      <c r="K115" s="7" t="inlineStr"/>
    </row>
    <row r="116" ht="15" customHeight="1">
      <c r="A116" s="7" t="inlineStr"/>
      <c r="B116" s="7" t="inlineStr">
        <is>
          <t>21142013</t>
        </is>
      </c>
      <c r="C116" s="7" t="inlineStr">
        <is>
          <t>เงินรับล่วงหน้า-Honda Pay Save</t>
        </is>
      </c>
      <c r="D116" s="7" t="inlineStr">
        <is>
          <t>เจ้าหนี้หมุนเวียนอื่น</t>
        </is>
      </c>
      <c r="E116" s="8" t="n"/>
      <c r="F116" s="9" t="n">
        <v>-15831.6168</v>
      </c>
      <c r="G116" s="10">
        <f>F116-E116</f>
        <v/>
      </c>
      <c r="H116" s="11">
        <f>G116</f>
        <v/>
      </c>
      <c r="I116" s="7" t="inlineStr">
        <is>
          <t>Operating</t>
        </is>
      </c>
      <c r="J116" s="7" t="inlineStr"/>
      <c r="K116" s="7" t="inlineStr"/>
    </row>
    <row r="117" ht="15" customHeight="1">
      <c r="A117" s="7" t="inlineStr"/>
      <c r="B117" s="7" t="inlineStr">
        <is>
          <t>21142014</t>
        </is>
      </c>
      <c r="C117" s="7" t="inlineStr">
        <is>
          <t>เงินรับล่วงหน้า-ค่าทะเบียน</t>
        </is>
      </c>
      <c r="D117" s="7" t="inlineStr">
        <is>
          <t>เจ้าหนี้หมุนเวียนอื่น</t>
        </is>
      </c>
      <c r="E117" s="8" t="n"/>
      <c r="F117" s="9" t="n">
        <v>-2338.3124</v>
      </c>
      <c r="G117" s="10">
        <f>F117-E117</f>
        <v/>
      </c>
      <c r="H117" s="11">
        <f>G117</f>
        <v/>
      </c>
      <c r="I117" s="7" t="inlineStr">
        <is>
          <t>Operating</t>
        </is>
      </c>
      <c r="J117" s="7" t="inlineStr"/>
      <c r="K117" s="7" t="inlineStr"/>
    </row>
    <row r="118" ht="15" customHeight="1">
      <c r="A118" s="7" t="inlineStr"/>
      <c r="B118" s="7" t="inlineStr">
        <is>
          <t>21142015</t>
        </is>
      </c>
      <c r="C118" s="7" t="inlineStr">
        <is>
          <t>เงินรับล่วงหน้า-ค่าประกันภัย,พรบ.</t>
        </is>
      </c>
      <c r="D118" s="7" t="inlineStr">
        <is>
          <t>เจ้าหนี้หมุนเวียนอื่น</t>
        </is>
      </c>
      <c r="E118" s="8" t="n"/>
      <c r="F118" s="9" t="n">
        <v>-940.4203</v>
      </c>
      <c r="G118" s="10">
        <f>F118-E118</f>
        <v/>
      </c>
      <c r="H118" s="11">
        <f>G118</f>
        <v/>
      </c>
      <c r="I118" s="7" t="inlineStr">
        <is>
          <t>Operating</t>
        </is>
      </c>
      <c r="J118" s="7" t="inlineStr"/>
      <c r="K118" s="7" t="inlineStr"/>
    </row>
    <row r="119" ht="15" customHeight="1">
      <c r="A119" s="7" t="inlineStr"/>
      <c r="B119" s="7" t="inlineStr">
        <is>
          <t>21142016</t>
        </is>
      </c>
      <c r="C119" s="7" t="inlineStr">
        <is>
          <t>เงินมัดจำ-ป้ายแดง</t>
        </is>
      </c>
      <c r="D119" s="7" t="inlineStr">
        <is>
          <t>เจ้าหนี้หมุนเวียนอื่น</t>
        </is>
      </c>
      <c r="E119" s="8" t="n"/>
      <c r="F119" s="9" t="n">
        <v>-4370.7498</v>
      </c>
      <c r="G119" s="10">
        <f>F119-E119</f>
        <v/>
      </c>
      <c r="H119" s="11">
        <f>G119</f>
        <v/>
      </c>
      <c r="I119" s="7" t="inlineStr">
        <is>
          <t>Operating</t>
        </is>
      </c>
      <c r="J119" s="7" t="inlineStr"/>
      <c r="K119" s="7" t="inlineStr"/>
    </row>
    <row r="120" ht="15" customHeight="1">
      <c r="A120" s="7" t="inlineStr"/>
      <c r="B120" s="7" t="inlineStr">
        <is>
          <t>21142019</t>
        </is>
      </c>
      <c r="C120" s="7" t="inlineStr">
        <is>
          <t>เงินรับล่วงหน้า - ค่าแรงซ่อม</t>
        </is>
      </c>
      <c r="D120" s="7" t="inlineStr">
        <is>
          <t>เจ้าหนี้หมุนเวียนอื่น</t>
        </is>
      </c>
      <c r="E120" s="8" t="n"/>
      <c r="F120" s="9" t="n">
        <v>-341.9093</v>
      </c>
      <c r="G120" s="10">
        <f>F120-E120</f>
        <v/>
      </c>
      <c r="H120" s="11">
        <f>G120</f>
        <v/>
      </c>
      <c r="I120" s="7" t="inlineStr">
        <is>
          <t>Operating</t>
        </is>
      </c>
      <c r="J120" s="7" t="inlineStr"/>
      <c r="K120" s="7" t="inlineStr"/>
    </row>
    <row r="121" ht="15" customHeight="1">
      <c r="A121" s="7" t="inlineStr"/>
      <c r="B121" s="7" t="inlineStr">
        <is>
          <t>21142020</t>
        </is>
      </c>
      <c r="C121" s="7" t="inlineStr">
        <is>
          <t>เงินรับล่วงหน้า-เคลือบเซรามิค 9H</t>
        </is>
      </c>
      <c r="D121" s="7" t="inlineStr">
        <is>
          <t>เจ้าหนี้หมุนเวียนอื่น</t>
        </is>
      </c>
      <c r="E121" s="8" t="n"/>
      <c r="F121" s="9" t="n">
        <v>-29090</v>
      </c>
      <c r="G121" s="10">
        <f>F121-E121</f>
        <v/>
      </c>
      <c r="H121" s="11">
        <f>G121</f>
        <v/>
      </c>
      <c r="I121" s="7" t="inlineStr">
        <is>
          <t>Operating</t>
        </is>
      </c>
      <c r="J121" s="7" t="inlineStr"/>
      <c r="K121" s="7" t="inlineStr"/>
    </row>
    <row r="122" ht="15" customHeight="1">
      <c r="A122" s="7" t="inlineStr"/>
      <c r="B122" s="7" t="inlineStr">
        <is>
          <t>21142023</t>
        </is>
      </c>
      <c r="C122" s="7" t="inlineStr">
        <is>
          <t>เงินรับล่วงหน้า-ค่าต่อทะเบียนภาษี</t>
        </is>
      </c>
      <c r="D122" s="7" t="inlineStr">
        <is>
          <t>เจ้าหนี้หมุนเวียนอื่น</t>
        </is>
      </c>
      <c r="E122" s="8" t="n"/>
      <c r="F122" s="9" t="n">
        <v>-180.0697</v>
      </c>
      <c r="G122" s="10">
        <f>F122-E122</f>
        <v/>
      </c>
      <c r="H122" s="11">
        <f>G122</f>
        <v/>
      </c>
      <c r="I122" s="7" t="inlineStr">
        <is>
          <t>Operating</t>
        </is>
      </c>
      <c r="J122" s="7" t="inlineStr"/>
      <c r="K122" s="7" t="inlineStr"/>
    </row>
    <row r="123" ht="15" customHeight="1">
      <c r="A123" s="7" t="inlineStr"/>
      <c r="B123" s="7" t="inlineStr">
        <is>
          <t>21142024</t>
        </is>
      </c>
      <c r="C123" s="7" t="inlineStr">
        <is>
          <t>เงินรับล่วงหน้า-ค่าประกันภัย,พรบ.(ปีต่อ)</t>
        </is>
      </c>
      <c r="D123" s="7" t="inlineStr">
        <is>
          <t>เจ้าหนี้หมุนเวียนอื่น</t>
        </is>
      </c>
      <c r="E123" s="8" t="n"/>
      <c r="F123" s="9" t="n">
        <v>-17591.0612</v>
      </c>
      <c r="G123" s="10">
        <f>F123-E123</f>
        <v/>
      </c>
      <c r="H123" s="11">
        <f>G123</f>
        <v/>
      </c>
      <c r="I123" s="7" t="inlineStr">
        <is>
          <t>Operating</t>
        </is>
      </c>
      <c r="J123" s="7" t="inlineStr"/>
      <c r="K123" s="7" t="inlineStr"/>
    </row>
    <row r="124" ht="15" customHeight="1">
      <c r="A124" s="7" t="inlineStr"/>
      <c r="B124" s="7" t="inlineStr">
        <is>
          <t>21142025</t>
        </is>
      </c>
      <c r="C124" s="7" t="inlineStr">
        <is>
          <t>รายได้รอการรับรู้</t>
        </is>
      </c>
      <c r="D124" s="7" t="inlineStr">
        <is>
          <t>เจ้าหนี้หมุนเวียนอื่น</t>
        </is>
      </c>
      <c r="E124" s="8" t="n"/>
      <c r="F124" s="9" t="n">
        <v>-400</v>
      </c>
      <c r="G124" s="10">
        <f>F124-E124</f>
        <v/>
      </c>
      <c r="H124" s="11">
        <f>G124</f>
        <v/>
      </c>
      <c r="I124" s="7" t="inlineStr">
        <is>
          <t>Operating</t>
        </is>
      </c>
      <c r="J124" s="7" t="inlineStr"/>
      <c r="K124" s="7" t="inlineStr"/>
    </row>
    <row r="125" ht="15" customHeight="1">
      <c r="A125" s="7" t="inlineStr"/>
      <c r="B125" s="7" t="inlineStr">
        <is>
          <t>21143022</t>
        </is>
      </c>
      <c r="C125" s="7" t="inlineStr">
        <is>
          <t>เงินรับล่วงหน้า-VOUCHER</t>
        </is>
      </c>
      <c r="D125" s="7" t="inlineStr">
        <is>
          <t>เจ้าหนี้หมุนเวียนอื่น</t>
        </is>
      </c>
      <c r="E125" s="8" t="n"/>
      <c r="F125" s="9" t="n">
        <v>-1083.2601</v>
      </c>
      <c r="G125" s="10">
        <f>F125-E125</f>
        <v/>
      </c>
      <c r="H125" s="11">
        <f>G125</f>
        <v/>
      </c>
      <c r="I125" s="7" t="inlineStr">
        <is>
          <t>Operating</t>
        </is>
      </c>
      <c r="J125" s="7" t="inlineStr"/>
      <c r="K125" s="7" t="inlineStr"/>
    </row>
    <row r="126" ht="15" customHeight="1">
      <c r="A126" s="7" t="inlineStr"/>
      <c r="B126" s="7" t="inlineStr">
        <is>
          <t>21143025</t>
        </is>
      </c>
      <c r="C126" s="7" t="inlineStr">
        <is>
          <t>เงินรับล่วงหน้า-อื่นๆ</t>
        </is>
      </c>
      <c r="D126" s="7" t="inlineStr">
        <is>
          <t>เจ้าหนี้หมุนเวียนอื่น</t>
        </is>
      </c>
      <c r="E126" s="8" t="n"/>
      <c r="F126" s="9" t="n">
        <v>-17.0093</v>
      </c>
      <c r="G126" s="10">
        <f>F126-E126</f>
        <v/>
      </c>
      <c r="H126" s="11">
        <f>G126</f>
        <v/>
      </c>
      <c r="I126" s="7" t="inlineStr">
        <is>
          <t>Operating</t>
        </is>
      </c>
      <c r="J126" s="7" t="inlineStr"/>
      <c r="K126" s="7" t="inlineStr"/>
    </row>
    <row r="127" ht="15" customHeight="1">
      <c r="A127" s="7" t="inlineStr"/>
      <c r="B127" s="7" t="inlineStr">
        <is>
          <t>21151010</t>
        </is>
      </c>
      <c r="C127" s="7" t="inlineStr">
        <is>
          <t>เจ้าหนี้อื่น</t>
        </is>
      </c>
      <c r="D127" s="7" t="inlineStr">
        <is>
          <t>เจ้าหนี้หมุนเวียนอื่น</t>
        </is>
      </c>
      <c r="E127" s="8" t="n"/>
      <c r="F127" s="9" t="n">
        <v>-42202.3537</v>
      </c>
      <c r="G127" s="10">
        <f>F127-E127</f>
        <v/>
      </c>
      <c r="H127" s="11">
        <f>G127</f>
        <v/>
      </c>
      <c r="I127" s="7" t="inlineStr">
        <is>
          <t>Operating</t>
        </is>
      </c>
      <c r="J127" s="7" t="inlineStr"/>
      <c r="K127" s="7" t="inlineStr"/>
    </row>
    <row r="128" ht="15" customHeight="1">
      <c r="A128" s="7" t="inlineStr"/>
      <c r="B128" s="7" t="inlineStr">
        <is>
          <t>21151011</t>
        </is>
      </c>
      <c r="C128" s="7" t="inlineStr">
        <is>
          <t>เงินประกันพนักงาน</t>
        </is>
      </c>
      <c r="D128" s="7" t="inlineStr">
        <is>
          <t>เจ้าหนี้หมุนเวียนอื่น</t>
        </is>
      </c>
      <c r="E128" s="8" t="n"/>
      <c r="F128" s="9" t="n">
        <v>-1345.4922</v>
      </c>
      <c r="G128" s="10">
        <f>F128-E128</f>
        <v/>
      </c>
      <c r="H128" s="11">
        <f>G128</f>
        <v/>
      </c>
      <c r="I128" s="7" t="inlineStr">
        <is>
          <t>Operating</t>
        </is>
      </c>
      <c r="J128" s="7" t="inlineStr"/>
      <c r="K128" s="7" t="inlineStr"/>
    </row>
    <row r="129" ht="15" customHeight="1">
      <c r="A129" s="7" t="inlineStr"/>
      <c r="B129" s="7" t="inlineStr">
        <is>
          <t>21151012</t>
        </is>
      </c>
      <c r="C129" s="7" t="inlineStr">
        <is>
          <t>หนี้สินหมุนเวียนอื่น</t>
        </is>
      </c>
      <c r="D129" s="7" t="inlineStr">
        <is>
          <t>เจ้าหนี้หมุนเวียนอื่น</t>
        </is>
      </c>
      <c r="E129" s="8" t="n"/>
      <c r="F129" s="9" t="n">
        <v>-6365.0187</v>
      </c>
      <c r="G129" s="10">
        <f>F129-E129</f>
        <v/>
      </c>
      <c r="H129" s="11">
        <f>G129</f>
        <v/>
      </c>
      <c r="I129" s="7" t="inlineStr">
        <is>
          <t>Operating</t>
        </is>
      </c>
      <c r="J129" s="7" t="inlineStr"/>
      <c r="K129" s="7" t="inlineStr"/>
    </row>
    <row r="130" ht="15" customHeight="1">
      <c r="A130" s="7" t="inlineStr"/>
      <c r="B130" s="7" t="inlineStr">
        <is>
          <t>21151014</t>
        </is>
      </c>
      <c r="C130" s="7" t="inlineStr">
        <is>
          <t>เงินรับล่วงหน้า-ค่าประกันภัย,พรบ (แถม)</t>
        </is>
      </c>
      <c r="D130" s="7" t="inlineStr">
        <is>
          <t>เจ้าหนี้หมุนเวียนอื่น</t>
        </is>
      </c>
      <c r="E130" s="8" t="n"/>
      <c r="F130" s="9" t="n">
        <v>-765.0491000000001</v>
      </c>
      <c r="G130" s="10">
        <f>F130-E130</f>
        <v/>
      </c>
      <c r="H130" s="11">
        <f>G130</f>
        <v/>
      </c>
      <c r="I130" s="7" t="inlineStr">
        <is>
          <t>Operating</t>
        </is>
      </c>
      <c r="J130" s="7" t="inlineStr"/>
      <c r="K130" s="7" t="inlineStr"/>
    </row>
    <row r="131" ht="15" customHeight="1">
      <c r="A131" s="7" t="inlineStr"/>
      <c r="B131" s="7" t="inlineStr">
        <is>
          <t>21151016</t>
        </is>
      </c>
      <c r="C131" s="7" t="inlineStr">
        <is>
          <t>เงินประกันผลงาน - BP</t>
        </is>
      </c>
      <c r="D131" s="7" t="inlineStr">
        <is>
          <t>เจ้าหนี้หมุนเวียนอื่น</t>
        </is>
      </c>
      <c r="E131" s="8" t="n"/>
      <c r="F131" s="9" t="n">
        <v>-11576.9464</v>
      </c>
      <c r="G131" s="10">
        <f>F131-E131</f>
        <v/>
      </c>
      <c r="H131" s="11">
        <f>G131</f>
        <v/>
      </c>
      <c r="I131" s="7" t="inlineStr">
        <is>
          <t>Operating</t>
        </is>
      </c>
      <c r="J131" s="7" t="inlineStr"/>
      <c r="K131" s="7" t="inlineStr"/>
    </row>
    <row r="132" ht="15" customHeight="1">
      <c r="A132" s="15" t="inlineStr"/>
      <c r="B132" s="15" t="inlineStr">
        <is>
          <t>21122010</t>
        </is>
      </c>
      <c r="C132" s="15" t="inlineStr">
        <is>
          <t>เจ้าหนี้-กิจการที่เกี่ยวข้องกัน</t>
        </is>
      </c>
      <c r="D132" s="15" t="inlineStr">
        <is>
          <t>เจ้าหนี้หมุนเวียนอื่น</t>
        </is>
      </c>
      <c r="E132" s="16" t="n"/>
      <c r="F132" s="17" t="n">
        <v>0</v>
      </c>
      <c r="G132" s="18">
        <f>F132-E132</f>
        <v/>
      </c>
      <c r="H132" s="19">
        <f>G132</f>
        <v/>
      </c>
      <c r="I132" s="15" t="inlineStr">
        <is>
          <t>Operating</t>
        </is>
      </c>
      <c r="J132" s="20" t="inlineStr">
        <is>
          <t>IC</t>
        </is>
      </c>
      <c r="K132" s="15" t="inlineStr"/>
    </row>
    <row r="133" ht="15" customHeight="1">
      <c r="A133" s="15" t="inlineStr"/>
      <c r="B133" s="15" t="inlineStr">
        <is>
          <t>21132010</t>
        </is>
      </c>
      <c r="C133" s="15" t="inlineStr">
        <is>
          <t>เงินกู้ยืมระยะสั้นจากกิจการที่เกี่ยวข้องกัน</t>
        </is>
      </c>
      <c r="D133" s="15" t="inlineStr">
        <is>
          <t>เจ้าหนี้หมุนเวียนอื่น</t>
        </is>
      </c>
      <c r="E133" s="16" t="n"/>
      <c r="F133" s="17" t="n">
        <v>0</v>
      </c>
      <c r="G133" s="18">
        <f>F133-E133</f>
        <v/>
      </c>
      <c r="H133" s="19">
        <f>G133</f>
        <v/>
      </c>
      <c r="I133" s="15" t="inlineStr">
        <is>
          <t>Operating</t>
        </is>
      </c>
      <c r="J133" s="20" t="inlineStr">
        <is>
          <t>IC</t>
        </is>
      </c>
      <c r="K133" s="15" t="inlineStr"/>
    </row>
    <row r="134" ht="15" customHeight="1">
      <c r="A134" s="15" t="inlineStr"/>
      <c r="B134" s="15" t="inlineStr">
        <is>
          <t>21132011</t>
        </is>
      </c>
      <c r="C134" s="15" t="inlineStr">
        <is>
          <t>ดอกเบี้ยค้างจ่ายจากกิจการที่เกี่ยวข้องกัน</t>
        </is>
      </c>
      <c r="D134" s="15" t="inlineStr">
        <is>
          <t>เจ้าหนี้หมุนเวียนอื่น</t>
        </is>
      </c>
      <c r="E134" s="16" t="n"/>
      <c r="F134" s="17" t="n">
        <v>0</v>
      </c>
      <c r="G134" s="18">
        <f>F134-E134</f>
        <v/>
      </c>
      <c r="H134" s="19">
        <f>G134</f>
        <v/>
      </c>
      <c r="I134" s="15" t="inlineStr">
        <is>
          <t>Operating</t>
        </is>
      </c>
      <c r="J134" s="20" t="inlineStr">
        <is>
          <t>IC</t>
        </is>
      </c>
      <c r="K134" s="15" t="inlineStr"/>
    </row>
    <row r="135" ht="15" customHeight="1">
      <c r="A135" s="7" t="inlineStr"/>
      <c r="B135" s="7" t="inlineStr">
        <is>
          <t>21141013</t>
        </is>
      </c>
      <c r="C135" s="7" t="inlineStr">
        <is>
          <t>ค่านายหน้าค้างจ่าย</t>
        </is>
      </c>
      <c r="D135" s="7" t="inlineStr">
        <is>
          <t>เจ้าหนี้หมุนเวียนอื่น</t>
        </is>
      </c>
      <c r="E135" s="8" t="n"/>
      <c r="F135" s="9" t="n">
        <v>0</v>
      </c>
      <c r="G135" s="10">
        <f>F135-E135</f>
        <v/>
      </c>
      <c r="H135" s="11">
        <f>G135</f>
        <v/>
      </c>
      <c r="I135" s="7" t="inlineStr">
        <is>
          <t>Operating</t>
        </is>
      </c>
      <c r="J135" s="7" t="inlineStr"/>
      <c r="K135" s="7" t="inlineStr"/>
    </row>
    <row r="136" ht="15" customHeight="1">
      <c r="A136" s="7" t="inlineStr"/>
      <c r="B136" s="7" t="inlineStr">
        <is>
          <t>21141015</t>
        </is>
      </c>
      <c r="C136" s="7" t="inlineStr">
        <is>
          <t>ดอกเบี้ยค้างจ่ายจากธนาคาร</t>
        </is>
      </c>
      <c r="D136" s="7" t="inlineStr">
        <is>
          <t>เจ้าหนี้หมุนเวียนอื่น</t>
        </is>
      </c>
      <c r="E136" s="8" t="n"/>
      <c r="F136" s="9" t="n">
        <v>0</v>
      </c>
      <c r="G136" s="10">
        <f>F136-E136</f>
        <v/>
      </c>
      <c r="H136" s="11">
        <f>G136</f>
        <v/>
      </c>
      <c r="I136" s="7" t="inlineStr">
        <is>
          <t>Operating</t>
        </is>
      </c>
      <c r="J136" s="7" t="inlineStr"/>
      <c r="K136" s="7" t="inlineStr"/>
    </row>
    <row r="137" ht="15" customHeight="1">
      <c r="A137" s="7" t="inlineStr"/>
      <c r="B137" s="7" t="inlineStr">
        <is>
          <t>21142017</t>
        </is>
      </c>
      <c r="C137" s="7" t="inlineStr">
        <is>
          <t>เงินรับล่วงหน้า-Untimate Care</t>
        </is>
      </c>
      <c r="D137" s="7" t="inlineStr">
        <is>
          <t>เจ้าหนี้หมุนเวียนอื่น</t>
        </is>
      </c>
      <c r="E137" s="8" t="n"/>
      <c r="F137" s="9" t="n">
        <v>0</v>
      </c>
      <c r="G137" s="10">
        <f>F137-E137</f>
        <v/>
      </c>
      <c r="H137" s="11">
        <f>G137</f>
        <v/>
      </c>
      <c r="I137" s="7" t="inlineStr">
        <is>
          <t>Operating</t>
        </is>
      </c>
      <c r="J137" s="7" t="inlineStr"/>
      <c r="K137" s="7" t="inlineStr"/>
    </row>
    <row r="138" ht="15" customHeight="1">
      <c r="A138" s="7" t="inlineStr"/>
      <c r="B138" s="7" t="inlineStr">
        <is>
          <t>21142018</t>
        </is>
      </c>
      <c r="C138" s="7" t="inlineStr">
        <is>
          <t>เงินรับล่วงหน้า-ค่าช่วยเหลือการขายรถยนต์</t>
        </is>
      </c>
      <c r="D138" s="7" t="inlineStr">
        <is>
          <t>เจ้าหนี้หมุนเวียนอื่น</t>
        </is>
      </c>
      <c r="E138" s="8" t="n"/>
      <c r="F138" s="9" t="n">
        <v>0</v>
      </c>
      <c r="G138" s="10">
        <f>F138-E138</f>
        <v/>
      </c>
      <c r="H138" s="11">
        <f>G138</f>
        <v/>
      </c>
      <c r="I138" s="7" t="inlineStr">
        <is>
          <t>Operating</t>
        </is>
      </c>
      <c r="J138" s="7" t="inlineStr"/>
      <c r="K138" s="7" t="inlineStr"/>
    </row>
    <row r="139" ht="15" customHeight="1">
      <c r="A139" s="7" t="inlineStr"/>
      <c r="B139" s="7" t="inlineStr">
        <is>
          <t>21142022</t>
        </is>
      </c>
      <c r="C139" s="7" t="inlineStr">
        <is>
          <t>เงินรับล่วงหน้าจากการขายรถยนต์ (เงินดาวน์)</t>
        </is>
      </c>
      <c r="D139" s="7" t="inlineStr">
        <is>
          <t>เจ้าหนี้หมุนเวียนอื่น</t>
        </is>
      </c>
      <c r="E139" s="8" t="n"/>
      <c r="F139" s="9" t="n">
        <v>0</v>
      </c>
      <c r="G139" s="10">
        <f>F139-E139</f>
        <v/>
      </c>
      <c r="H139" s="11">
        <f>G139</f>
        <v/>
      </c>
      <c r="I139" s="7" t="inlineStr">
        <is>
          <t>Operating</t>
        </is>
      </c>
      <c r="J139" s="7" t="inlineStr"/>
      <c r="K139" s="7" t="inlineStr"/>
    </row>
    <row r="140" ht="15" customHeight="1">
      <c r="A140" s="7" t="inlineStr"/>
      <c r="B140" s="7" t="inlineStr">
        <is>
          <t>21143023</t>
        </is>
      </c>
      <c r="C140" s="7" t="inlineStr">
        <is>
          <t xml:space="preserve">       เงินรับล่วงหน้า-PREMIUMCARE</t>
        </is>
      </c>
      <c r="D140" s="7" t="inlineStr">
        <is>
          <t>เจ้าหนี้หมุนเวียนอื่น</t>
        </is>
      </c>
      <c r="E140" s="8" t="n"/>
      <c r="F140" s="9" t="n">
        <v>0</v>
      </c>
      <c r="G140" s="10">
        <f>F140-E140</f>
        <v/>
      </c>
      <c r="H140" s="11">
        <f>G140</f>
        <v/>
      </c>
      <c r="I140" s="7" t="inlineStr">
        <is>
          <t>Operating</t>
        </is>
      </c>
      <c r="J140" s="7" t="inlineStr"/>
      <c r="K140" s="7" t="inlineStr"/>
    </row>
    <row r="141" ht="15" customHeight="1">
      <c r="A141" s="7" t="inlineStr"/>
      <c r="B141" s="7" t="inlineStr">
        <is>
          <t>21143018</t>
        </is>
      </c>
      <c r="C141" s="7" t="inlineStr">
        <is>
          <t>เงินรับล่วงหน้า-อะไหล่เคลม</t>
        </is>
      </c>
      <c r="D141" s="7" t="inlineStr">
        <is>
          <t>เจ้าหนี้หมุนเวียนอื่น</t>
        </is>
      </c>
      <c r="E141" s="8" t="n"/>
      <c r="F141" s="9" t="n">
        <v>0</v>
      </c>
      <c r="G141" s="10">
        <f>F141-E141</f>
        <v/>
      </c>
      <c r="H141" s="11">
        <f>G141</f>
        <v/>
      </c>
      <c r="I141" s="7" t="inlineStr">
        <is>
          <t>Operating</t>
        </is>
      </c>
      <c r="J141" s="7" t="inlineStr"/>
      <c r="K141" s="7" t="inlineStr"/>
    </row>
    <row r="142" ht="15" customHeight="1">
      <c r="A142" s="7" t="inlineStr"/>
      <c r="B142" s="7" t="inlineStr">
        <is>
          <t>21143020</t>
        </is>
      </c>
      <c r="C142" s="7" t="inlineStr">
        <is>
          <t>เงินรับล่วงหน้า-CLIKSAVE</t>
        </is>
      </c>
      <c r="D142" s="7" t="inlineStr">
        <is>
          <t>เจ้าหนี้หมุนเวียนอื่น</t>
        </is>
      </c>
      <c r="E142" s="8" t="n"/>
      <c r="F142" s="9" t="n">
        <v>0</v>
      </c>
      <c r="G142" s="10">
        <f>F142-E142</f>
        <v/>
      </c>
      <c r="H142" s="11">
        <f>G142</f>
        <v/>
      </c>
      <c r="I142" s="7" t="inlineStr">
        <is>
          <t>Operating</t>
        </is>
      </c>
      <c r="J142" s="7" t="inlineStr"/>
      <c r="K142" s="7" t="inlineStr"/>
    </row>
    <row r="143" ht="15" customHeight="1">
      <c r="A143" s="7" t="inlineStr"/>
      <c r="B143" s="7" t="inlineStr">
        <is>
          <t>21151013</t>
        </is>
      </c>
      <c r="C143" s="7" t="inlineStr">
        <is>
          <t>เช็คค้างจ่าย</t>
        </is>
      </c>
      <c r="D143" s="7" t="inlineStr">
        <is>
          <t>เจ้าหนี้หมุนเวียนอื่น</t>
        </is>
      </c>
      <c r="E143" s="8" t="n"/>
      <c r="F143" s="9" t="n">
        <v>0</v>
      </c>
      <c r="G143" s="10">
        <f>F143-E143</f>
        <v/>
      </c>
      <c r="H143" s="11">
        <f>G143</f>
        <v/>
      </c>
      <c r="I143" s="7" t="inlineStr">
        <is>
          <t>Operating</t>
        </is>
      </c>
      <c r="J143" s="7" t="inlineStr"/>
      <c r="K143" s="7" t="inlineStr"/>
    </row>
    <row r="144" ht="15" customHeight="1">
      <c r="A144" s="15" t="inlineStr"/>
      <c r="B144" s="15" t="inlineStr">
        <is>
          <t>21151015</t>
        </is>
      </c>
      <c r="C144" s="15" t="inlineStr">
        <is>
          <t>เจ้าหนี้อื่น-กิจการที่เกี่ยวข้องกัน</t>
        </is>
      </c>
      <c r="D144" s="15" t="inlineStr">
        <is>
          <t>เจ้าหนี้หมุนเวียนอื่น</t>
        </is>
      </c>
      <c r="E144" s="16" t="n"/>
      <c r="F144" s="17" t="n">
        <v>0</v>
      </c>
      <c r="G144" s="18">
        <f>F144-E144</f>
        <v/>
      </c>
      <c r="H144" s="19">
        <f>G144</f>
        <v/>
      </c>
      <c r="I144" s="15" t="inlineStr">
        <is>
          <t>Operating</t>
        </is>
      </c>
      <c r="J144" s="20" t="inlineStr">
        <is>
          <t>IC</t>
        </is>
      </c>
      <c r="K144" s="15" t="inlineStr"/>
    </row>
    <row r="145" ht="15" customHeight="1">
      <c r="A145" s="15" t="inlineStr"/>
      <c r="B145" s="15" t="inlineStr">
        <is>
          <t>21212011</t>
        </is>
      </c>
      <c r="C145" s="15" t="inlineStr">
        <is>
          <t>ดอกเบี้ยค้างจ่ายจากบริษัทย่อย</t>
        </is>
      </c>
      <c r="D145" s="15" t="inlineStr">
        <is>
          <t>เจ้าหนี้หมุนเวียนอื่น</t>
        </is>
      </c>
      <c r="E145" s="16" t="n"/>
      <c r="F145" s="17" t="n">
        <v>0</v>
      </c>
      <c r="G145" s="18">
        <f>F145-E145</f>
        <v/>
      </c>
      <c r="H145" s="19">
        <f>G145</f>
        <v/>
      </c>
      <c r="I145" s="15" t="inlineStr">
        <is>
          <t>Operating</t>
        </is>
      </c>
      <c r="J145" s="20" t="inlineStr">
        <is>
          <t>IC</t>
        </is>
      </c>
      <c r="K145" s="15" t="inlineStr"/>
    </row>
    <row r="146" ht="15" customHeight="1">
      <c r="A146" s="7" t="inlineStr"/>
      <c r="B146" s="7" t="inlineStr">
        <is>
          <t>21212031</t>
        </is>
      </c>
      <c r="C146" s="7" t="inlineStr">
        <is>
          <t>ดอกเบี้ยค้างจ่ายจากจากบริษัทอื่น</t>
        </is>
      </c>
      <c r="D146" s="7" t="inlineStr">
        <is>
          <t>เจ้าหนี้หมุนเวียนอื่น</t>
        </is>
      </c>
      <c r="E146" s="8" t="n"/>
      <c r="F146" s="9" t="n">
        <v>0</v>
      </c>
      <c r="G146" s="10">
        <f>F146-E146</f>
        <v/>
      </c>
      <c r="H146" s="11">
        <f>G146</f>
        <v/>
      </c>
      <c r="I146" s="7" t="inlineStr">
        <is>
          <t>Operating</t>
        </is>
      </c>
      <c r="J146" s="7" t="inlineStr"/>
      <c r="K146" s="7" t="inlineStr"/>
    </row>
    <row r="147" ht="16" customHeight="1">
      <c r="A147" s="12" t="inlineStr"/>
      <c r="B147" s="12" t="inlineStr"/>
      <c r="C147" s="12" t="inlineStr">
        <is>
          <t>รวม 7. เจ้าหนี้หมุนเวียนอื่น / ค่าใช้จ่ายค้างจ่าย / ดอกเบี้ยค้างจ่าย</t>
        </is>
      </c>
      <c r="D147" s="12" t="inlineStr"/>
      <c r="E147" s="13">
        <f>SUM(E110:E146)</f>
        <v/>
      </c>
      <c r="F147" s="13">
        <f>SUM(F110:F146)</f>
        <v/>
      </c>
      <c r="G147" s="13">
        <f>SUM(G110:G146)</f>
        <v/>
      </c>
      <c r="H147" s="14">
        <f>SUM(H110:H146)</f>
        <v/>
      </c>
      <c r="I147" s="12" t="inlineStr">
        <is>
          <t>Operating</t>
        </is>
      </c>
      <c r="J147" s="12" t="inlineStr"/>
      <c r="K147" s="12" t="inlineStr"/>
    </row>
    <row r="149" ht="18" customHeight="1">
      <c r="A149" s="4" t="inlineStr">
        <is>
          <t>8. หนี้สินตามสัญญาเช่า Lease Liability (TFRS 16)</t>
        </is>
      </c>
    </row>
    <row r="150" ht="14" customHeight="1">
      <c r="A150" s="5" t="inlineStr">
        <is>
          <t xml:space="preserve">   Logic: เงินต้น Lease = Financing Activity  |  ดอกเบี้ย Lease = Operating หรือ Financing ตาม Policy   |   Activity: Financing</t>
        </is>
      </c>
    </row>
    <row r="151" ht="13" customHeight="1">
      <c r="A151" s="6" t="inlineStr"/>
      <c r="B151" s="6" t="inlineStr"/>
      <c r="C151" s="6" t="inlineStr">
        <is>
          <t>Intercompany accounts highlighted in yellow</t>
        </is>
      </c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</row>
    <row r="152" ht="15" customHeight="1">
      <c r="A152" s="7" t="inlineStr"/>
      <c r="B152" s="7" t="inlineStr">
        <is>
          <t>21133010</t>
        </is>
      </c>
      <c r="C152" s="7" t="inlineStr">
        <is>
          <t>ส่วนของหนี้สินระยะยาวที่ถึงกำหนดชำระภายใน 1 ปี</t>
        </is>
      </c>
      <c r="D152" s="7" t="inlineStr">
        <is>
          <t xml:space="preserve">     ที่ถึงกำหนดชำระภายในหนึ่งปี</t>
        </is>
      </c>
      <c r="E152" s="8" t="n"/>
      <c r="F152" s="9" t="n">
        <v>0</v>
      </c>
      <c r="G152" s="10">
        <f>F152-E152</f>
        <v/>
      </c>
      <c r="H152" s="21" t="inlineStr">
        <is>
          <t>N/A — see note</t>
        </is>
      </c>
      <c r="I152" s="7" t="inlineStr">
        <is>
          <t>Financing</t>
        </is>
      </c>
      <c r="J152" s="7" t="inlineStr"/>
      <c r="K152" s="7" t="inlineStr"/>
    </row>
    <row r="153" ht="15" customHeight="1">
      <c r="A153" s="7" t="inlineStr"/>
      <c r="B153" s="7" t="inlineStr">
        <is>
          <t>21221013</t>
        </is>
      </c>
      <c r="C153" s="7" t="inlineStr">
        <is>
          <t>หนี้สินตามสัญญาเช่า</t>
        </is>
      </c>
      <c r="D153" s="7" t="inlineStr">
        <is>
          <t>หนี้สินตามสัญญาเช่า</t>
        </is>
      </c>
      <c r="E153" s="8" t="n"/>
      <c r="F153" s="9" t="n">
        <v>-2410171.8587</v>
      </c>
      <c r="G153" s="10">
        <f>F153-E153</f>
        <v/>
      </c>
      <c r="H153" s="21" t="inlineStr">
        <is>
          <t>N/A — see note</t>
        </is>
      </c>
      <c r="I153" s="7" t="inlineStr">
        <is>
          <t>Financing</t>
        </is>
      </c>
      <c r="J153" s="7" t="inlineStr"/>
      <c r="K153" s="7" t="inlineStr"/>
    </row>
    <row r="154" ht="15" customHeight="1">
      <c r="A154" s="7" t="inlineStr"/>
      <c r="B154" s="7" t="inlineStr">
        <is>
          <t>21221014</t>
        </is>
      </c>
      <c r="C154" s="7" t="inlineStr">
        <is>
          <t>ดอกเบี้ยรอตัดจ่าย-สัญญาเช่า</t>
        </is>
      </c>
      <c r="D154" s="7" t="inlineStr">
        <is>
          <t>หนี้สินตามสัญญาเช่า</t>
        </is>
      </c>
      <c r="E154" s="8" t="n"/>
      <c r="F154" s="9" t="n">
        <v>749165.9719</v>
      </c>
      <c r="G154" s="10">
        <f>F154-E154</f>
        <v/>
      </c>
      <c r="H154" s="21" t="inlineStr">
        <is>
          <t>N/A — see note</t>
        </is>
      </c>
      <c r="I154" s="7" t="inlineStr">
        <is>
          <t>Financing</t>
        </is>
      </c>
      <c r="J154" s="7" t="inlineStr"/>
      <c r="K154" s="7" t="inlineStr"/>
    </row>
    <row r="155" ht="16" customHeight="1">
      <c r="A155" s="12" t="inlineStr"/>
      <c r="B155" s="12" t="inlineStr"/>
      <c r="C155" s="12" t="inlineStr">
        <is>
          <t>รวม 8. หนี้สินตามสัญญาเช่า Lease Liability (TFRS 16)</t>
        </is>
      </c>
      <c r="D155" s="12" t="inlineStr"/>
      <c r="E155" s="13">
        <f>SUM(E152:E154)</f>
        <v/>
      </c>
      <c r="F155" s="13">
        <f>SUM(F152:F154)</f>
        <v/>
      </c>
      <c r="G155" s="13">
        <f>SUM(G152:G154)</f>
        <v/>
      </c>
      <c r="H155" s="13" t="inlineStr">
        <is>
          <t>N/A</t>
        </is>
      </c>
      <c r="I155" s="12" t="inlineStr">
        <is>
          <t>Financing</t>
        </is>
      </c>
      <c r="J155" s="12" t="inlineStr"/>
      <c r="K155" s="12" t="inlineStr"/>
    </row>
    <row r="157" ht="18" customHeight="1">
      <c r="A157" s="4" t="inlineStr">
        <is>
          <t>9. เงินกู้ยืมจากสถาบันการเงิน (Bank Loans)</t>
        </is>
      </c>
    </row>
    <row r="158" ht="14" customHeight="1">
      <c r="A158" s="5" t="inlineStr">
        <is>
          <t xml:space="preserve">   Logic: กู้เพิ่ม = CF บวก  |  ชำระคืน = CF ลบ — Financing Activity   |   Activity: Financing</t>
        </is>
      </c>
    </row>
    <row r="159" ht="13" customHeight="1">
      <c r="A159" s="6" t="inlineStr"/>
      <c r="B159" s="6" t="inlineStr"/>
      <c r="C159" s="6" t="inlineStr">
        <is>
          <t>Intercompany accounts highlighted in yellow</t>
        </is>
      </c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</row>
    <row r="160" ht="15" customHeight="1">
      <c r="A160" s="7" t="inlineStr"/>
      <c r="B160" s="7" t="inlineStr">
        <is>
          <t>21111030</t>
        </is>
      </c>
      <c r="C160" s="7" t="inlineStr">
        <is>
          <t>ตั๋วเงินจ่าย</t>
        </is>
      </c>
      <c r="D160" s="7" t="inlineStr">
        <is>
          <t>เงินกู้ยืมระยะสั้นจากสถาบันการเงิน</t>
        </is>
      </c>
      <c r="E160" s="8" t="n"/>
      <c r="F160" s="9" t="n">
        <v>-900000</v>
      </c>
      <c r="G160" s="10">
        <f>F160-E160</f>
        <v/>
      </c>
      <c r="H160" s="11">
        <f>G160</f>
        <v/>
      </c>
      <c r="I160" s="7" t="inlineStr">
        <is>
          <t>Financing</t>
        </is>
      </c>
      <c r="J160" s="7" t="inlineStr"/>
      <c r="K160" s="7" t="inlineStr"/>
    </row>
    <row r="161" ht="15" customHeight="1">
      <c r="A161" s="7" t="inlineStr"/>
      <c r="B161" s="7" t="inlineStr">
        <is>
          <t>21211010</t>
        </is>
      </c>
      <c r="C161" s="7" t="inlineStr">
        <is>
          <t>เงินกู้ยืมระยะยาว</t>
        </is>
      </c>
      <c r="D161" s="7" t="inlineStr">
        <is>
          <t>เงินกู้ยืมระยะยาวจากสถาบันการเงิน</t>
        </is>
      </c>
      <c r="E161" s="8" t="n"/>
      <c r="F161" s="9" t="n">
        <v>0</v>
      </c>
      <c r="G161" s="10">
        <f>F161-E161</f>
        <v/>
      </c>
      <c r="H161" s="11">
        <f>G161</f>
        <v/>
      </c>
      <c r="I161" s="7" t="inlineStr">
        <is>
          <t>Financing</t>
        </is>
      </c>
      <c r="J161" s="7" t="inlineStr"/>
      <c r="K161" s="7" t="inlineStr"/>
    </row>
    <row r="162" ht="15" customHeight="1">
      <c r="A162" s="7" t="inlineStr"/>
      <c r="B162" s="7" t="inlineStr">
        <is>
          <t>21111020</t>
        </is>
      </c>
      <c r="C162" s="7" t="inlineStr">
        <is>
          <t>เงินกู้ยืมระยะสั้นจากธนาคาร</t>
        </is>
      </c>
      <c r="D162" s="7" t="inlineStr">
        <is>
          <t>เงินเบิกเกินบัญชีและเงินกู้ยืมระยะสั้นจากสถาบันการเงิน</t>
        </is>
      </c>
      <c r="E162" s="8" t="n"/>
      <c r="F162" s="9" t="n">
        <v>0</v>
      </c>
      <c r="G162" s="10">
        <f>F162-E162</f>
        <v/>
      </c>
      <c r="H162" s="11">
        <f>G162</f>
        <v/>
      </c>
      <c r="I162" s="7" t="inlineStr">
        <is>
          <t>Financing</t>
        </is>
      </c>
      <c r="J162" s="7" t="inlineStr"/>
      <c r="K162" s="7" t="inlineStr"/>
    </row>
    <row r="163" ht="16" customHeight="1">
      <c r="A163" s="12" t="inlineStr"/>
      <c r="B163" s="12" t="inlineStr"/>
      <c r="C163" s="12" t="inlineStr">
        <is>
          <t>รวม 9. เงินกู้ยืมจากสถาบันการเงิน (Bank Loans)</t>
        </is>
      </c>
      <c r="D163" s="12" t="inlineStr"/>
      <c r="E163" s="13">
        <f>SUM(E160:E162)</f>
        <v/>
      </c>
      <c r="F163" s="13">
        <f>SUM(F160:F162)</f>
        <v/>
      </c>
      <c r="G163" s="13">
        <f>SUM(G160:G162)</f>
        <v/>
      </c>
      <c r="H163" s="14">
        <f>SUM(H160:H162)</f>
        <v/>
      </c>
      <c r="I163" s="12" t="inlineStr">
        <is>
          <t>Financing</t>
        </is>
      </c>
      <c r="J163" s="12" t="inlineStr"/>
      <c r="K163" s="12" t="inlineStr"/>
    </row>
    <row r="165" ht="18" customHeight="1">
      <c r="A165" s="4" t="inlineStr">
        <is>
          <t>10. ประมาณการผลประโยชน์พนักงาน (Employee Benefit)</t>
        </is>
      </c>
    </row>
    <row r="166" ht="14" customHeight="1">
      <c r="A166" s="5" t="inlineStr">
        <is>
          <t xml:space="preserve">   Logic: Non-cash accrual — บวกกลับใน Operating   |   Activity: Operating (add-back)</t>
        </is>
      </c>
    </row>
    <row r="167" ht="13" customHeight="1">
      <c r="A167" s="6" t="inlineStr"/>
      <c r="B167" s="6" t="inlineStr"/>
      <c r="C167" s="6" t="inlineStr">
        <is>
          <t>Intercompany accounts highlighted in yellow</t>
        </is>
      </c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</row>
    <row r="168" ht="15" customHeight="1">
      <c r="A168" s="7" t="inlineStr"/>
      <c r="B168" s="7" t="inlineStr">
        <is>
          <t>21221010</t>
        </is>
      </c>
      <c r="C168" s="7" t="inlineStr">
        <is>
          <t>ประมาณการผลประโยชน์พนักงานหลังออกจากงาน</t>
        </is>
      </c>
      <c r="D168" s="7" t="inlineStr">
        <is>
          <t xml:space="preserve">     ผลประโยชน์พนักงาน</t>
        </is>
      </c>
      <c r="E168" s="8" t="n"/>
      <c r="F168" s="9" t="n">
        <v>-112073.6509</v>
      </c>
      <c r="G168" s="10">
        <f>F168-E168</f>
        <v/>
      </c>
      <c r="H168" s="11">
        <f>G168</f>
        <v/>
      </c>
      <c r="I168" s="7" t="inlineStr">
        <is>
          <t>Operating (add-back)</t>
        </is>
      </c>
      <c r="J168" s="7" t="inlineStr"/>
      <c r="K168" s="7" t="inlineStr"/>
    </row>
    <row r="169" ht="15" customHeight="1">
      <c r="A169" s="7" t="inlineStr"/>
      <c r="B169" s="7" t="inlineStr">
        <is>
          <t>21221050</t>
        </is>
      </c>
      <c r="C169" s="7" t="inlineStr">
        <is>
          <t>ค่ารื้อถอน</t>
        </is>
      </c>
      <c r="D169" s="7" t="inlineStr">
        <is>
          <t>ประมาณการหนี้สินไม่หมุนเวียนอื่น</t>
        </is>
      </c>
      <c r="E169" s="8" t="n"/>
      <c r="F169" s="9" t="n">
        <v>-62906.2512</v>
      </c>
      <c r="G169" s="10">
        <f>F169-E169</f>
        <v/>
      </c>
      <c r="H169" s="11">
        <f>G169</f>
        <v/>
      </c>
      <c r="I169" s="7" t="inlineStr">
        <is>
          <t>Operating (add-back)</t>
        </is>
      </c>
      <c r="J169" s="7" t="inlineStr"/>
      <c r="K169" s="7" t="inlineStr"/>
    </row>
    <row r="170" ht="16" customHeight="1">
      <c r="A170" s="12" t="inlineStr"/>
      <c r="B170" s="12" t="inlineStr"/>
      <c r="C170" s="12" t="inlineStr">
        <is>
          <t>รวม 10. ประมาณการผลประโยชน์พนักงาน (Employee Benefit)</t>
        </is>
      </c>
      <c r="D170" s="12" t="inlineStr"/>
      <c r="E170" s="13">
        <f>SUM(E168:E169)</f>
        <v/>
      </c>
      <c r="F170" s="13">
        <f>SUM(F168:F169)</f>
        <v/>
      </c>
      <c r="G170" s="13">
        <f>SUM(G168:G169)</f>
        <v/>
      </c>
      <c r="H170" s="14">
        <f>SUM(H168:H169)</f>
        <v/>
      </c>
      <c r="I170" s="12" t="inlineStr">
        <is>
          <t>Operating (add-back)</t>
        </is>
      </c>
      <c r="J170" s="12" t="inlineStr"/>
      <c r="K170" s="12" t="inlineStr"/>
    </row>
    <row r="172" ht="18" customHeight="1">
      <c r="A172" s="4" t="inlineStr">
        <is>
          <t>11. ภาษีเงินได้นิติบุคคลค้างจ่าย (Income Tax Payable)</t>
        </is>
      </c>
    </row>
    <row r="173" ht="14" customHeight="1">
      <c r="A173" s="5" t="inlineStr">
        <is>
          <t xml:space="preserve">   Logic: เพิ่ม = CF บวก   |   Activity: Operating</t>
        </is>
      </c>
    </row>
    <row r="174" ht="13" customHeight="1">
      <c r="A174" s="6" t="inlineStr"/>
      <c r="B174" s="6" t="inlineStr"/>
      <c r="C174" s="6" t="inlineStr">
        <is>
          <t>Intercompany accounts highlighted in yellow</t>
        </is>
      </c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</row>
    <row r="175" ht="15" customHeight="1">
      <c r="A175" s="7" t="inlineStr"/>
      <c r="B175" s="7" t="inlineStr">
        <is>
          <t>21143015</t>
        </is>
      </c>
      <c r="C175" s="7" t="inlineStr">
        <is>
          <t>ภาษีเงินได้นิติบุคคลค้างจ่าย</t>
        </is>
      </c>
      <c r="D175" s="7" t="inlineStr">
        <is>
          <t>ภาษีเงินได้นิติบุคคลค้างจ่าย</t>
        </is>
      </c>
      <c r="E175" s="8" t="n"/>
      <c r="F175" s="9" t="n">
        <v>-91746.11320000001</v>
      </c>
      <c r="G175" s="10">
        <f>F175-E175</f>
        <v/>
      </c>
      <c r="H175" s="11">
        <f>G175</f>
        <v/>
      </c>
      <c r="I175" s="7" t="inlineStr">
        <is>
          <t>Operating</t>
        </is>
      </c>
      <c r="J175" s="7" t="inlineStr"/>
      <c r="K175" s="7" t="inlineStr"/>
    </row>
    <row r="176" ht="16" customHeight="1">
      <c r="A176" s="12" t="inlineStr"/>
      <c r="B176" s="12" t="inlineStr"/>
      <c r="C176" s="12" t="inlineStr">
        <is>
          <t>รวม 11. ภาษีเงินได้นิติบุคคลค้างจ่าย (Income Tax Payable)</t>
        </is>
      </c>
      <c r="D176" s="12" t="inlineStr"/>
      <c r="E176" s="13">
        <f>SUM(E175:E175)</f>
        <v/>
      </c>
      <c r="F176" s="13">
        <f>SUM(F175:F175)</f>
        <v/>
      </c>
      <c r="G176" s="13">
        <f>SUM(G175:G175)</f>
        <v/>
      </c>
      <c r="H176" s="14">
        <f>SUM(H175:H175)</f>
        <v/>
      </c>
      <c r="I176" s="12" t="inlineStr">
        <is>
          <t>Operating</t>
        </is>
      </c>
      <c r="J176" s="12" t="inlineStr"/>
      <c r="K176" s="12" t="inlineStr"/>
    </row>
    <row r="178" ht="18" customHeight="1">
      <c r="A178" s="4" t="inlineStr">
        <is>
          <t>12. หนี้สินภาษีเงินได้รอตัดบัญชี / หนี้สินไม่หมุนเวียนอื่น</t>
        </is>
      </c>
    </row>
    <row r="179" ht="14" customHeight="1">
      <c r="A179" s="5" t="inlineStr">
        <is>
          <t xml:space="preserve">   Logic: เพิ่ม = CF บวก   |   Activity: Operating / Financing</t>
        </is>
      </c>
    </row>
    <row r="180" ht="13" customHeight="1">
      <c r="A180" s="6" t="inlineStr"/>
      <c r="B180" s="6" t="inlineStr"/>
      <c r="C180" s="6" t="inlineStr">
        <is>
          <t>Intercompany accounts highlighted in yellow</t>
        </is>
      </c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</row>
    <row r="181" ht="15" customHeight="1">
      <c r="A181" s="7" t="inlineStr"/>
      <c r="B181" s="7" t="inlineStr">
        <is>
          <t>21200010</t>
        </is>
      </c>
      <c r="C181" s="7" t="inlineStr">
        <is>
          <t>เงินประกันความเสียหาย</t>
        </is>
      </c>
      <c r="D181" s="7" t="inlineStr">
        <is>
          <t>หนี้สินไม่หมุนเวียนอื่น</t>
        </is>
      </c>
      <c r="E181" s="8" t="n"/>
      <c r="F181" s="9" t="n">
        <v>0</v>
      </c>
      <c r="G181" s="10">
        <f>F181-E181</f>
        <v/>
      </c>
      <c r="H181" s="11">
        <f>G181</f>
        <v/>
      </c>
      <c r="I181" s="7" t="inlineStr">
        <is>
          <t>Operating / Financing</t>
        </is>
      </c>
      <c r="J181" s="7" t="inlineStr"/>
      <c r="K181" s="7" t="inlineStr"/>
    </row>
    <row r="182" ht="15" customHeight="1">
      <c r="A182" s="7" t="inlineStr"/>
      <c r="B182" s="7" t="inlineStr">
        <is>
          <t>21221011</t>
        </is>
      </c>
      <c r="C182" s="7" t="inlineStr">
        <is>
          <t>หนี้สินไม่หมุนเวียนอื่น</t>
        </is>
      </c>
      <c r="D182" s="7" t="inlineStr">
        <is>
          <t>หนี้สินไม่หมุนเวียนอื่น</t>
        </is>
      </c>
      <c r="E182" s="8" t="n"/>
      <c r="F182" s="9" t="n">
        <v>0</v>
      </c>
      <c r="G182" s="10">
        <f>F182-E182</f>
        <v/>
      </c>
      <c r="H182" s="11">
        <f>G182</f>
        <v/>
      </c>
      <c r="I182" s="7" t="inlineStr">
        <is>
          <t>Operating / Financing</t>
        </is>
      </c>
      <c r="J182" s="7" t="inlineStr"/>
      <c r="K182" s="7" t="inlineStr"/>
    </row>
    <row r="183" ht="16" customHeight="1">
      <c r="A183" s="12" t="inlineStr"/>
      <c r="B183" s="12" t="inlineStr"/>
      <c r="C183" s="12" t="inlineStr">
        <is>
          <t>รวม 12. หนี้สินภาษีเงินได้รอตัดบัญชี / หนี้สินไม่หมุนเวียนอื่น</t>
        </is>
      </c>
      <c r="D183" s="12" t="inlineStr"/>
      <c r="E183" s="13">
        <f>SUM(E181:E182)</f>
        <v/>
      </c>
      <c r="F183" s="13">
        <f>SUM(F181:F182)</f>
        <v/>
      </c>
      <c r="G183" s="13">
        <f>SUM(G181:G182)</f>
        <v/>
      </c>
      <c r="H183" s="14">
        <f>SUM(H181:H182)</f>
        <v/>
      </c>
      <c r="I183" s="12" t="inlineStr">
        <is>
          <t>Operating / Financing</t>
        </is>
      </c>
      <c r="J183" s="12" t="inlineStr"/>
      <c r="K183" s="12" t="inlineStr"/>
    </row>
  </sheetData>
  <mergeCells count="26">
    <mergeCell ref="A157:K157"/>
    <mergeCell ref="A166:K166"/>
    <mergeCell ref="A49:K49"/>
    <mergeCell ref="A107:K107"/>
    <mergeCell ref="A178:K178"/>
    <mergeCell ref="A1:K1"/>
    <mergeCell ref="A79:K79"/>
    <mergeCell ref="A78:K78"/>
    <mergeCell ref="A172:K172"/>
    <mergeCell ref="A16:K16"/>
    <mergeCell ref="A108:K108"/>
    <mergeCell ref="A158:K158"/>
    <mergeCell ref="A149:K149"/>
    <mergeCell ref="A50:K50"/>
    <mergeCell ref="A86:K86"/>
    <mergeCell ref="A179:K179"/>
    <mergeCell ref="A95:K95"/>
    <mergeCell ref="A2:K2"/>
    <mergeCell ref="A85:K85"/>
    <mergeCell ref="A5:K5"/>
    <mergeCell ref="A150:K150"/>
    <mergeCell ref="A17:K17"/>
    <mergeCell ref="A4:K4"/>
    <mergeCell ref="A96:K96"/>
    <mergeCell ref="A165:K165"/>
    <mergeCell ref="A173:K1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</cols>
  <sheetData>
    <row r="1" ht="22" customHeight="1">
      <c r="A1" s="22" t="inlineStr">
        <is>
          <t>สรุปผลกระทบ Working Capital ต่อ Cash Flow Statement (Indirect Method)</t>
        </is>
      </c>
    </row>
    <row r="2" ht="18" customHeight="1">
      <c r="A2" s="23" t="inlineStr">
        <is>
          <t>รายการ</t>
        </is>
      </c>
      <c r="B2" s="23" t="inlineStr">
        <is>
          <t>CF Impact (บาท)</t>
        </is>
      </c>
      <c r="C2" s="23" t="inlineStr">
        <is>
          <t>Activity</t>
        </is>
      </c>
    </row>
    <row r="3" ht="15" customHeight="1">
      <c r="A3" s="24" t="inlineStr">
        <is>
          <t>1. ลูกหนี้การค้า (Accounts Receivable)</t>
        </is>
      </c>
      <c r="B3" s="25">
        <f>'Working Paper'!H14</f>
        <v/>
      </c>
      <c r="C3" s="26" t="inlineStr">
        <is>
          <t>Operating</t>
        </is>
      </c>
    </row>
    <row r="4" ht="15" customHeight="1">
      <c r="A4" s="24" t="inlineStr">
        <is>
          <t>2. ลูกหนี้หมุนเวียนอื่น (Other Current Receivables)</t>
        </is>
      </c>
      <c r="B4" s="25">
        <f>'Working Paper'!H47</f>
        <v/>
      </c>
      <c r="C4" s="26" t="inlineStr">
        <is>
          <t>Operating</t>
        </is>
      </c>
    </row>
    <row r="5" ht="15" customHeight="1">
      <c r="A5" s="24" t="inlineStr">
        <is>
          <t>3. ที่ดิน อาคาร อุปกรณ์ / PPE &amp; Investment Property</t>
        </is>
      </c>
      <c r="B5" s="25">
        <f>'Working Paper'!H76</f>
        <v/>
      </c>
      <c r="C5" s="26" t="inlineStr">
        <is>
          <t>Investing</t>
        </is>
      </c>
    </row>
    <row r="6" ht="15" customHeight="1">
      <c r="A6" s="24" t="inlineStr">
        <is>
          <t>4. สินทรัพย์สิทธิการใช้ ROU Asset (TFRS 16)</t>
        </is>
      </c>
      <c r="B6" s="27" t="inlineStr">
        <is>
          <t>ดูรายละเอียด</t>
        </is>
      </c>
      <c r="C6" s="26" t="inlineStr">
        <is>
          <t>Operating (add-back)</t>
        </is>
      </c>
    </row>
    <row r="7" ht="15" customHeight="1">
      <c r="A7" s="24" t="inlineStr">
        <is>
          <t>5. สินทรัพย์ภาษีเงินได้รอตัดบัญชี / สินทรัพย์อื่น</t>
        </is>
      </c>
      <c r="B7" s="25">
        <f>'Working Paper'!H93</f>
        <v/>
      </c>
      <c r="C7" s="26" t="inlineStr">
        <is>
          <t>Investing</t>
        </is>
      </c>
    </row>
    <row r="8" ht="15" customHeight="1">
      <c r="A8" s="24" t="inlineStr">
        <is>
          <t>6. เจ้าหนี้การค้า (Accounts Payable)</t>
        </is>
      </c>
      <c r="B8" s="25">
        <f>'Working Paper'!H105</f>
        <v/>
      </c>
      <c r="C8" s="26" t="inlineStr">
        <is>
          <t>Operating</t>
        </is>
      </c>
    </row>
    <row r="9" ht="15" customHeight="1">
      <c r="A9" s="24" t="inlineStr">
        <is>
          <t>7. เจ้าหนี้หมุนเวียนอื่น / ค่าใช้จ่ายค้างจ่าย / ดอกเบี้ยค้างจ่าย</t>
        </is>
      </c>
      <c r="B9" s="25">
        <f>'Working Paper'!H147</f>
        <v/>
      </c>
      <c r="C9" s="26" t="inlineStr">
        <is>
          <t>Operating</t>
        </is>
      </c>
    </row>
    <row r="10" ht="15" customHeight="1">
      <c r="A10" s="24" t="inlineStr">
        <is>
          <t>8. หนี้สินตามสัญญาเช่า Lease Liability (TFRS 16)</t>
        </is>
      </c>
      <c r="B10" s="27" t="inlineStr">
        <is>
          <t>ดูรายละเอียด</t>
        </is>
      </c>
      <c r="C10" s="26" t="inlineStr">
        <is>
          <t>Financing</t>
        </is>
      </c>
    </row>
    <row r="11" ht="15" customHeight="1">
      <c r="A11" s="24" t="inlineStr">
        <is>
          <t>9. เงินกู้ยืมจากสถาบันการเงิน (Bank Loans)</t>
        </is>
      </c>
      <c r="B11" s="25">
        <f>'Working Paper'!H163</f>
        <v/>
      </c>
      <c r="C11" s="26" t="inlineStr">
        <is>
          <t>Financing</t>
        </is>
      </c>
    </row>
    <row r="12" ht="15" customHeight="1">
      <c r="A12" s="24" t="inlineStr">
        <is>
          <t>10. ประมาณการผลประโยชน์พนักงาน (Employee Benefit)</t>
        </is>
      </c>
      <c r="B12" s="25">
        <f>'Working Paper'!H170</f>
        <v/>
      </c>
      <c r="C12" s="26" t="inlineStr">
        <is>
          <t>Operating (add-back)</t>
        </is>
      </c>
    </row>
    <row r="13" ht="15" customHeight="1">
      <c r="A13" s="24" t="inlineStr">
        <is>
          <t>11. ภาษีเงินได้นิติบุคคลค้างจ่าย (Income Tax Payable)</t>
        </is>
      </c>
      <c r="B13" s="25">
        <f>'Working Paper'!H176</f>
        <v/>
      </c>
      <c r="C13" s="26" t="inlineStr">
        <is>
          <t>Operating</t>
        </is>
      </c>
    </row>
    <row r="14" ht="15" customHeight="1">
      <c r="A14" s="24" t="inlineStr">
        <is>
          <t>12. หนี้สินภาษีเงินได้รอตัดบัญชี / หนี้สินไม่หมุนเวียนอื่น</t>
        </is>
      </c>
      <c r="B14" s="25">
        <f>'Working Paper'!H183</f>
        <v/>
      </c>
      <c r="C14" s="26" t="inlineStr">
        <is>
          <t>Operating / Financing</t>
        </is>
      </c>
    </row>
    <row r="16" ht="17" customHeight="1">
      <c r="A16" s="28" t="inlineStr">
        <is>
          <t>รวมผลกระทบ — Operating Activities</t>
        </is>
      </c>
      <c r="B16" s="29">
        <f>SUM(B3,B4,B6,B8,B9,B12,B13,B14)</f>
        <v/>
      </c>
      <c r="C16" s="30" t="n"/>
    </row>
    <row r="17" ht="17" customHeight="1">
      <c r="A17" s="28" t="inlineStr">
        <is>
          <t>รวมผลกระทบ — Investing Activities</t>
        </is>
      </c>
      <c r="B17" s="29">
        <f>SUM(B5,B7)</f>
        <v/>
      </c>
      <c r="C17" s="30" t="n"/>
    </row>
    <row r="18" ht="17" customHeight="1">
      <c r="A18" s="28" t="inlineStr">
        <is>
          <t>รวมผลกระทบ — Financing Activities</t>
        </is>
      </c>
      <c r="B18" s="29">
        <f>SUM(B10,B11)</f>
        <v/>
      </c>
      <c r="C18" s="30" t="n"/>
    </row>
    <row r="20" ht="28" customHeight="1">
      <c r="A20" s="31" t="inlineStr">
        <is>
          <t>หมายเหตุ: ตัวเลขสีน้ำเงินใน Working Paper = กรอกเอง (Opening Balance)  |  สีเขียว = จาก TB  |  เซลล์สีเหลือง = Intercompany (IC) — ถูก Eliminate ใน CONSO</t>
        </is>
      </c>
    </row>
  </sheetData>
  <mergeCells count="2">
    <mergeCell ref="A1:C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6" customHeight="1">
      <c r="A1" s="32" t="inlineStr">
        <is>
          <t>วิธีใช้ Working Paper Template นี้</t>
        </is>
      </c>
    </row>
    <row r="2" ht="8" customHeight="1">
      <c r="A2" s="33" t="inlineStr"/>
    </row>
    <row r="3" ht="16" customHeight="1">
      <c r="A3" s="34" t="inlineStr">
        <is>
          <t>STEP 1 — กรอก Opening Balance (คอลัมน์ E สีน้ำเงิน)</t>
        </is>
      </c>
    </row>
    <row r="4" ht="16" customHeight="1">
      <c r="A4" s="35" t="inlineStr">
        <is>
          <t xml:space="preserve">  กรอกยอดยกมาต้นงวด (เช่น 31 Dec 2023) สำหรับทุก Account</t>
        </is>
      </c>
    </row>
    <row r="5" ht="16" customHeight="1">
      <c r="A5" s="35" t="inlineStr">
        <is>
          <t xml:space="preserve">  ถ้ามี TB งวดก่อนหน้า สามารถ paste ค่าตรงๆ ได้เลย</t>
        </is>
      </c>
    </row>
    <row r="6" ht="8" customHeight="1">
      <c r="A6" s="35" t="inlineStr"/>
    </row>
    <row r="7" ht="16" customHeight="1">
      <c r="A7" s="34" t="inlineStr">
        <is>
          <t>STEP 2 — ตรวจสอบ Closing Balance (คอลัมน์ F สีเขียว)</t>
        </is>
      </c>
    </row>
    <row r="8" ht="16" customHeight="1">
      <c r="A8" s="35" t="inlineStr">
        <is>
          <t xml:space="preserve">  คอลัมน์ F ดึงมาจาก TB ที่ให้มา (CONSO) โดยอัตโนมัติ</t>
        </is>
      </c>
    </row>
    <row r="9" ht="16" customHeight="1">
      <c r="A9" s="35" t="inlineStr">
        <is>
          <t xml:space="preserve">  ถ้าตัวเลขไม่ตรงกับ TB ให้แจ้งทีม Accounting</t>
        </is>
      </c>
    </row>
    <row r="10" ht="8" customHeight="1">
      <c r="A10" s="35" t="inlineStr"/>
    </row>
    <row r="11" ht="16" customHeight="1">
      <c r="A11" s="34" t="inlineStr">
        <is>
          <t>STEP 3 — ระบบคำนวณ Change และ CF Impact ให้อัตโนมัติ</t>
        </is>
      </c>
    </row>
    <row r="12" ht="16" customHeight="1">
      <c r="A12" s="35" t="inlineStr">
        <is>
          <t xml:space="preserve">  Change = Closing - Opening (คอลัมน์ G)</t>
        </is>
      </c>
    </row>
    <row r="13" ht="16" customHeight="1">
      <c r="A13" s="35" t="inlineStr">
        <is>
          <t xml:space="preserve">  CF Impact = Change * Sign (คอลัมน์ H) — ดูสูตรแต่ละ Section</t>
        </is>
      </c>
    </row>
    <row r="14" ht="8" customHeight="1">
      <c r="A14" s="35" t="inlineStr"/>
    </row>
    <row r="15" ht="16" customHeight="1">
      <c r="A15" s="34" t="inlineStr">
        <is>
          <t>STEP 4 — ดูสรุปใน Sheet "CF Summary (WC)"</t>
        </is>
      </c>
    </row>
    <row r="16" ht="16" customHeight="1">
      <c r="A16" s="35" t="inlineStr">
        <is>
          <t xml:space="preserve">  Sheet นี้รวม CF Impact แยกตาม Operating / Investing / Financing</t>
        </is>
      </c>
    </row>
    <row r="17" ht="8" customHeight="1">
      <c r="A17" s="35" t="inlineStr"/>
    </row>
    <row r="18" ht="16" customHeight="1">
      <c r="A18" s="36" t="inlineStr">
        <is>
          <t>สัญลักษณ์สีที่ใช้</t>
        </is>
      </c>
    </row>
    <row r="19" ht="16" customHeight="1">
      <c r="A19" s="37" t="inlineStr">
        <is>
          <t xml:space="preserve">  ตัวเลขสีน้ำเงิน = กรอกเอง (Hardcoded Input)</t>
        </is>
      </c>
    </row>
    <row r="20" ht="16" customHeight="1">
      <c r="A20" s="38" t="inlineStr">
        <is>
          <t xml:space="preserve">  ตัวเลขสีเขียว = ดึงจาก TB</t>
        </is>
      </c>
    </row>
    <row r="21" ht="16" customHeight="1">
      <c r="A21" s="35" t="inlineStr">
        <is>
          <t xml:space="preserve">  ตัวเลขสีดำ = สูตรคำนวณ</t>
        </is>
      </c>
    </row>
    <row r="22" ht="16" customHeight="1">
      <c r="A22" s="39" t="inlineStr">
        <is>
          <t xml:space="preserve">  เซลล์สีเหลือง = Intercompany (IC) — ถูก Eliminate ใน CONSO</t>
        </is>
      </c>
    </row>
    <row r="23" ht="16" customHeight="1">
      <c r="A23" s="40" t="inlineStr">
        <is>
          <t xml:space="preserve">  เซลล์สีเขียวอ่อน = แถว Total</t>
        </is>
      </c>
    </row>
    <row r="24" ht="8" customHeight="1">
      <c r="A24" s="35" t="inlineStr"/>
    </row>
    <row r="25" ht="16" customHeight="1">
      <c r="A25" s="36" t="inlineStr">
        <is>
          <t>TFRS 16 — ข้อควรระวัง</t>
        </is>
      </c>
    </row>
    <row r="26" ht="16" customHeight="1">
      <c r="A26" s="35" t="inlineStr">
        <is>
          <t xml:space="preserve">  Section 4 (ROU Asset) และ Section 8 (Lease Liability) = TFRS 16</t>
        </is>
      </c>
    </row>
    <row r="27" ht="16" customHeight="1">
      <c r="A27" s="35" t="inlineStr">
        <is>
          <t xml:space="preserve">  CF Impact ของ 2 Section นี้ถูกระบุว่า N/A เพราะต้องแยก:</t>
        </is>
      </c>
    </row>
    <row r="28" ht="16" customHeight="1">
      <c r="A28" s="35" t="inlineStr">
        <is>
          <t xml:space="preserve">    - ค่าเสื่อม ROU Asset = Add-back ใน Operating (Non-cash)</t>
        </is>
      </c>
    </row>
    <row r="29" ht="16" customHeight="1">
      <c r="A29" s="35" t="inlineStr">
        <is>
          <t xml:space="preserve">    - ชำระเงินต้น Lease Liability = Financing Outflow</t>
        </is>
      </c>
    </row>
    <row r="30" ht="16" customHeight="1">
      <c r="A30" s="35" t="inlineStr">
        <is>
          <t xml:space="preserve">    - ดอกเบี้ย Lease = Operating หรือ Financing ตาม Policy บริษัท</t>
        </is>
      </c>
    </row>
    <row r="31" ht="16" customHeight="1">
      <c r="A31" s="41" t="inlineStr">
        <is>
          <t xml:space="preserve">  ให้ขอ TFRS 16 Schedule จากฝ่ายบัญชีเพิ่มเติม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2026-06-13T13:48:15Z</dcterms:created>
  <dcterms:modified xsi:type="dcterms:W3CDTF">2026-06-13T13:48:15Z</dcterms:modified>
</cp:coreProperties>
</file>